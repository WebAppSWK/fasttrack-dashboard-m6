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591c30a2202719/ครูปิยะณัฐ/2569-1/WebApp คะแนน Fast Track 2/"/>
    </mc:Choice>
  </mc:AlternateContent>
  <xr:revisionPtr revIDLastSave="7" documentId="8_{F5D2FB03-C6D1-CB4F-B74F-AB6DB0C98A65}" xr6:coauthVersionLast="47" xr6:coauthVersionMax="47" xr10:uidLastSave="{707ABF6D-90DB-2348-B116-51992C7CFD56}"/>
  <bookViews>
    <workbookView xWindow="-120" yWindow="-120" windowWidth="29040" windowHeight="15840" activeTab="1" xr2:uid="{BA2946CE-99D3-4657-ACAC-159E91AE3CA4}"/>
  </bookViews>
  <sheets>
    <sheet name="สายวิทย์" sheetId="1" r:id="rId1"/>
    <sheet name="สายศิลป์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" i="1" l="1"/>
  <c r="S1" i="1"/>
  <c r="J42" i="1"/>
  <c r="G42" i="1"/>
  <c r="G43" i="1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P34" i="2"/>
  <c r="P33" i="2"/>
  <c r="P32" i="2"/>
  <c r="P31" i="2"/>
  <c r="P28" i="2"/>
  <c r="P27" i="2"/>
  <c r="P26" i="2"/>
  <c r="P25" i="2"/>
  <c r="P23" i="2"/>
  <c r="P22" i="2"/>
  <c r="P21" i="2"/>
  <c r="P18" i="2"/>
  <c r="P17" i="2"/>
  <c r="P16" i="2"/>
  <c r="P15" i="2"/>
  <c r="P13" i="2"/>
  <c r="P10" i="2"/>
  <c r="P8" i="2"/>
  <c r="P7" i="2"/>
  <c r="P6" i="2"/>
  <c r="P4" i="2"/>
  <c r="P3" i="2"/>
  <c r="P2" i="2"/>
  <c r="O34" i="2"/>
  <c r="O33" i="2"/>
  <c r="O32" i="2"/>
  <c r="O31" i="2"/>
  <c r="O28" i="2"/>
  <c r="O27" i="2"/>
  <c r="O26" i="2"/>
  <c r="O25" i="2"/>
  <c r="O23" i="2"/>
  <c r="O22" i="2"/>
  <c r="O21" i="2"/>
  <c r="O18" i="2"/>
  <c r="O17" i="2"/>
  <c r="O16" i="2"/>
  <c r="O15" i="2"/>
  <c r="O13" i="2"/>
  <c r="O10" i="2"/>
  <c r="O8" i="2"/>
  <c r="O7" i="2"/>
  <c r="O6" i="2"/>
  <c r="O4" i="2"/>
  <c r="O3" i="2"/>
  <c r="O2" i="2"/>
  <c r="P1" i="2"/>
  <c r="O1" i="2"/>
  <c r="S2" i="1"/>
  <c r="T2" i="1"/>
  <c r="T40" i="1"/>
  <c r="T36" i="1"/>
  <c r="T35" i="1"/>
  <c r="T34" i="1"/>
  <c r="T33" i="1"/>
  <c r="T32" i="1"/>
  <c r="T31" i="1"/>
  <c r="T30" i="1"/>
  <c r="T29" i="1"/>
  <c r="T26" i="1"/>
  <c r="T25" i="1"/>
  <c r="T24" i="1"/>
  <c r="T22" i="1"/>
  <c r="T21" i="1"/>
  <c r="T20" i="1"/>
  <c r="T19" i="1"/>
  <c r="T17" i="1"/>
  <c r="T15" i="1"/>
  <c r="T14" i="1"/>
  <c r="T12" i="1"/>
  <c r="T11" i="1"/>
  <c r="T10" i="1"/>
  <c r="T9" i="1"/>
  <c r="T8" i="1"/>
  <c r="T7" i="1"/>
  <c r="T6" i="1"/>
  <c r="T5" i="1"/>
  <c r="T4" i="1"/>
  <c r="T3" i="1"/>
  <c r="S40" i="1"/>
  <c r="S36" i="1"/>
  <c r="S35" i="1"/>
  <c r="S34" i="1"/>
  <c r="S33" i="1"/>
  <c r="S32" i="1"/>
  <c r="S31" i="1"/>
  <c r="S30" i="1"/>
  <c r="S29" i="1"/>
  <c r="S26" i="1"/>
  <c r="S25" i="1"/>
  <c r="S24" i="1"/>
  <c r="S22" i="1"/>
  <c r="S21" i="1"/>
  <c r="S20" i="1"/>
  <c r="S19" i="1"/>
  <c r="S17" i="1"/>
  <c r="S15" i="1"/>
  <c r="S14" i="1"/>
  <c r="S12" i="1"/>
  <c r="S11" i="1"/>
  <c r="S10" i="1"/>
  <c r="S9" i="1"/>
  <c r="S8" i="1"/>
  <c r="S7" i="1"/>
  <c r="S6" i="1"/>
  <c r="S5" i="1"/>
  <c r="S4" i="1"/>
  <c r="S3" i="1"/>
  <c r="G31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9" i="2"/>
  <c r="G20" i="2"/>
  <c r="G21" i="2"/>
  <c r="G22" i="2"/>
  <c r="G23" i="2"/>
  <c r="G24" i="2"/>
  <c r="G25" i="2"/>
  <c r="G26" i="2"/>
  <c r="G27" i="2"/>
  <c r="G28" i="2"/>
  <c r="G29" i="2"/>
  <c r="G30" i="2"/>
  <c r="G32" i="2"/>
  <c r="G33" i="2"/>
  <c r="G34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2" i="1"/>
</calcChain>
</file>

<file path=xl/sharedStrings.xml><?xml version="1.0" encoding="utf-8"?>
<sst xmlns="http://schemas.openxmlformats.org/spreadsheetml/2006/main" count="169" uniqueCount="159">
  <si>
    <t>รหัสผู้สอบ</t>
  </si>
  <si>
    <t>เลขที่</t>
  </si>
  <si>
    <t>ชื่อ</t>
  </si>
  <si>
    <t xml:space="preserve"> สกุล</t>
  </si>
  <si>
    <t>นางสาววิภาดา</t>
  </si>
  <si>
    <t>โก</t>
  </si>
  <si>
    <t>นางสาวจรัสวดี</t>
  </si>
  <si>
    <t>บัวตูม</t>
  </si>
  <si>
    <t>นางสาวนิจจารีย์</t>
  </si>
  <si>
    <t>แซ่ย่าง</t>
  </si>
  <si>
    <t>นางสาวปริยากร</t>
  </si>
  <si>
    <t>ชัยกาวิล</t>
  </si>
  <si>
    <t>นางสาวณัฎฐณิชา</t>
  </si>
  <si>
    <t>ปัญญา</t>
  </si>
  <si>
    <t>นางสาวปุณยนุช</t>
  </si>
  <si>
    <t>ประสม</t>
  </si>
  <si>
    <t>นายชัชพิมุก</t>
  </si>
  <si>
    <t>โพธิ์ทอง</t>
  </si>
  <si>
    <t>นายชุติพนธ์</t>
  </si>
  <si>
    <t>ถามูล</t>
  </si>
  <si>
    <t>นายนัทธพงศ์</t>
  </si>
  <si>
    <t>นายศุวิล</t>
  </si>
  <si>
    <t>หลุยจำลอง</t>
  </si>
  <si>
    <t>นางสาวกัลยา</t>
  </si>
  <si>
    <t>ปัญญานนท์</t>
  </si>
  <si>
    <t>(ขาด)นางสาวธนาภา</t>
  </si>
  <si>
    <t>บุญทาวงค์</t>
  </si>
  <si>
    <t>นางสาวพรนภัส</t>
  </si>
  <si>
    <t>จุ่มใจ</t>
  </si>
  <si>
    <t>นางสาวพิชญา</t>
  </si>
  <si>
    <t>พรหมเทพ</t>
  </si>
  <si>
    <t>(ขาด)นางสาวพิมพิกา</t>
  </si>
  <si>
    <t>คำหน้อย</t>
  </si>
  <si>
    <t>นายปุณยวัจน์</t>
  </si>
  <si>
    <t>ชีวีนิธิสกุล</t>
  </si>
  <si>
    <t>(ขาด)นางสาวคำกู่</t>
  </si>
  <si>
    <t>ลุงโอ</t>
  </si>
  <si>
    <t>นายรัฐศาสตร์</t>
  </si>
  <si>
    <t>เครือแก้ว</t>
  </si>
  <si>
    <t>นางสาวญาณิดา</t>
  </si>
  <si>
    <t>บุญมาตา</t>
  </si>
  <si>
    <t>นางสาวนรินธิดา</t>
  </si>
  <si>
    <t>สว่างบุญมี</t>
  </si>
  <si>
    <t>นางสาวพิชญาภา</t>
  </si>
  <si>
    <t>พรหมมาเย็น</t>
  </si>
  <si>
    <t>(ขาด)นางสาวพิมพ์วิภา</t>
  </si>
  <si>
    <t>ขันคำ</t>
  </si>
  <si>
    <t>นางสาวภควรรณ</t>
  </si>
  <si>
    <t>สุรินทร์</t>
  </si>
  <si>
    <t>นางสาวภัทรินทร์</t>
  </si>
  <si>
    <t>ตาทา</t>
  </si>
  <si>
    <t>(ขาด)นางสาววรกานต์</t>
  </si>
  <si>
    <t>วิชิตร</t>
  </si>
  <si>
    <t>(ขาด)นางสาวสุพรรษา</t>
  </si>
  <si>
    <t>บุญอินทร์</t>
  </si>
  <si>
    <t>(ขาด)นางสาวศริศา</t>
  </si>
  <si>
    <t>อินชัย</t>
  </si>
  <si>
    <t>นางสาวอมินา</t>
  </si>
  <si>
    <t>เกษมสุขคงคา</t>
  </si>
  <si>
    <t>นายขวัญชัย</t>
  </si>
  <si>
    <t>คณาวงศา</t>
  </si>
  <si>
    <t>นางสาวจารุวรรณ</t>
  </si>
  <si>
    <t>สืบศักดิ์วงศ์</t>
  </si>
  <si>
    <t>นางสาวณัฐธิดา</t>
  </si>
  <si>
    <t>ประกอบกิจ</t>
  </si>
  <si>
    <t>นางสาวสิริวรรณ</t>
  </si>
  <si>
    <t>หมื่นยอง</t>
  </si>
  <si>
    <t>นางสาวกิติกานดา</t>
  </si>
  <si>
    <t>กันคำ</t>
  </si>
  <si>
    <t>นางสาวรุ่งนภา</t>
  </si>
  <si>
    <t>เจอโชคชัย</t>
  </si>
  <si>
    <t>นางสาวศรัญพร</t>
  </si>
  <si>
    <t>วราวงศ์วณิชย์</t>
  </si>
  <si>
    <t>(ขาด)นางสาวณิชานันท์</t>
  </si>
  <si>
    <t>ชีพดำรงไพร</t>
  </si>
  <si>
    <t>(ขาด)นางสาวพลอยพรรณ</t>
  </si>
  <si>
    <t>สุใจ</t>
  </si>
  <si>
    <t>(ขาด)นางสาวธนวรรณ</t>
  </si>
  <si>
    <t>ปรีดาพงษ์</t>
  </si>
  <si>
    <t>นายสพัทธ์พงค์</t>
  </si>
  <si>
    <t>ทรายคำ</t>
  </si>
  <si>
    <t>คณิต</t>
  </si>
  <si>
    <t>ชีวะ</t>
  </si>
  <si>
    <t>ฟิสิกส์</t>
  </si>
  <si>
    <t>ไทย</t>
  </si>
  <si>
    <t>สังคม</t>
  </si>
  <si>
    <t>นฤภัทร</t>
  </si>
  <si>
    <t>ปวนลุน</t>
  </si>
  <si>
    <t>นางสาวฟ้าใส</t>
  </si>
  <si>
    <t>ไชยวรรณ์</t>
  </si>
  <si>
    <t>นางสาวภวิษย์พร</t>
  </si>
  <si>
    <t>เด่นดวงเดือน</t>
  </si>
  <si>
    <t>(ขาด)นางสาวอภิชญา</t>
  </si>
  <si>
    <t>หลอโตน</t>
  </si>
  <si>
    <t>นายกชกร</t>
  </si>
  <si>
    <t>จินะคำปา</t>
  </si>
  <si>
    <t>นายพัฒนพล</t>
  </si>
  <si>
    <t>นาระตะ</t>
  </si>
  <si>
    <t>นางสาวกมลชนก</t>
  </si>
  <si>
    <t>สายสุวรรณ์</t>
  </si>
  <si>
    <t>(ขาด)นางสาวธวาภรณ์</t>
  </si>
  <si>
    <t>พรหมสุวรรณ์</t>
  </si>
  <si>
    <t>นายนครินทร์</t>
  </si>
  <si>
    <t>ลือชา</t>
  </si>
  <si>
    <t>(ขาด)นางสาวธนภรณ์</t>
  </si>
  <si>
    <t>กิ่วแก้ว</t>
  </si>
  <si>
    <t>(ขาด)นางสาวธัญญ์รวี</t>
  </si>
  <si>
    <t>รัตนวสิษฐ์กุล</t>
  </si>
  <si>
    <t>นางสาวรมิดา</t>
  </si>
  <si>
    <t>สิทธิชาติ</t>
  </si>
  <si>
    <t>(ขาด)นางสาวชรินรัตน์</t>
  </si>
  <si>
    <t>คำวงษา</t>
  </si>
  <si>
    <t>นางสาวธันยวีร์</t>
  </si>
  <si>
    <t>วรรณลังกา</t>
  </si>
  <si>
    <t>นายภูวนาท</t>
  </si>
  <si>
    <t>ปัถวี</t>
  </si>
  <si>
    <t>นางสาวธิดารัตน์</t>
  </si>
  <si>
    <t>ปันรส</t>
  </si>
  <si>
    <t>(ขาด)นางสาววรรณวิมล</t>
  </si>
  <si>
    <t>ตาบุญหู</t>
  </si>
  <si>
    <t>(ขาด)นางสาววรางคณา</t>
  </si>
  <si>
    <t>เตจะสา</t>
  </si>
  <si>
    <t>นางสาวชุติกาญจน์</t>
  </si>
  <si>
    <t>ประสพศิลป์</t>
  </si>
  <si>
    <t>นายรัชชานนท์</t>
  </si>
  <si>
    <t>รุ่งตรานนท์</t>
  </si>
  <si>
    <t>นายณัฐวรรธน์</t>
  </si>
  <si>
    <t>บุตตมา</t>
  </si>
  <si>
    <t>(ขาด)นางสาวณัฐณิชา</t>
  </si>
  <si>
    <t>รินเย็น</t>
  </si>
  <si>
    <t>นางสาวนภกุล</t>
  </si>
  <si>
    <t>แก้วหน่อคำ</t>
  </si>
  <si>
    <t>นายอาณัฐ</t>
  </si>
  <si>
    <t>สารินจา</t>
  </si>
  <si>
    <t>นางสาวอภิสรา</t>
  </si>
  <si>
    <t>ปู่สุข</t>
  </si>
  <si>
    <t>นายจิตติมนัส</t>
  </si>
  <si>
    <t>จับใจนาย</t>
  </si>
  <si>
    <t>(ขาด)นายณัฐภูมิ</t>
  </si>
  <si>
    <t>เขียวสา</t>
  </si>
  <si>
    <t>(ขาด)นางสาวนันทิกานต์</t>
  </si>
  <si>
    <t>ปู่ล้อยคำ</t>
  </si>
  <si>
    <t>นางสาวปิ่น</t>
  </si>
  <si>
    <t>ลุงต๊ะ</t>
  </si>
  <si>
    <t>นายทินภัทร</t>
  </si>
  <si>
    <t>เอี่ยมพันธ์</t>
  </si>
  <si>
    <t>นายบิ๊ก</t>
  </si>
  <si>
    <t>ใจมา</t>
  </si>
  <si>
    <t>นายศิวกร</t>
  </si>
  <si>
    <t>ศรีคำหน้อย</t>
  </si>
  <si>
    <t>ภาษาไทย</t>
  </si>
  <si>
    <t>เคมี</t>
  </si>
  <si>
    <t>ภาษาอังกฤษ</t>
  </si>
  <si>
    <t>รวมชีวะ</t>
  </si>
  <si>
    <t>รวมฟิสิกส์</t>
  </si>
  <si>
    <t>รวมคณิต</t>
  </si>
  <si>
    <t>วิทย์</t>
  </si>
  <si>
    <t>นาย กลวัชร จิตตาดู</t>
  </si>
  <si>
    <t xml:space="preserve">  เฉลี่ย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</si>
</sst>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sz val="11"/>
      <color theme="1"/>
      <name val="Sarabun"/>
    </font>
    <font>
      <sz val="10"/>
      <color theme="1"/>
      <name val="Sarabun"/>
    </font>
    <font>
      <sz val="16"/>
      <color theme="1"/>
      <name val="TH SarabunPSK"/>
      <family val="2"/>
    </font>
    <font>
      <sz val="20"/>
      <color theme="1"/>
      <name val="TH SarabunPSK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4" fontId="19" fillId="0" borderId="10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0" fillId="34" borderId="11" xfId="0" applyFont="1" applyFill="1" applyBorder="1" applyAlignment="1">
      <alignment horizontal="center"/>
    </xf>
    <xf numFmtId="0" fontId="20" fillId="33" borderId="11" xfId="0" applyFont="1" applyFill="1" applyBorder="1"/>
    <xf numFmtId="0" fontId="20" fillId="34" borderId="11" xfId="0" applyFont="1" applyFill="1" applyBorder="1"/>
    <xf numFmtId="0" fontId="21" fillId="33" borderId="11" xfId="0" applyFont="1" applyFill="1" applyBorder="1"/>
    <xf numFmtId="0" fontId="21" fillId="34" borderId="11" xfId="0" applyFont="1" applyFill="1" applyBorder="1"/>
    <xf numFmtId="2" fontId="0" fillId="0" borderId="0" xfId="0" applyNumberFormat="1"/>
    <xf numFmtId="0" fontId="0" fillId="35" borderId="0" xfId="0" applyFill="1"/>
    <xf numFmtId="2" fontId="0" fillId="35" borderId="0" xfId="0" applyNumberFormat="1" applyFill="1"/>
  </cellXfs>
  <cellStyles count="42">
    <cellStyle name="20% - ส่วนที่ถูกเน้น1" xfId="19" builtinId="30" customBuiltin="1"/>
    <cellStyle name="20% - ส่วนที่ถูกเน้น2" xfId="23" builtinId="34" customBuiltin="1"/>
    <cellStyle name="20% - ส่วนที่ถูกเน้น3" xfId="27" builtinId="38" customBuiltin="1"/>
    <cellStyle name="20% - ส่วนที่ถูกเน้น4" xfId="31" builtinId="42" customBuiltin="1"/>
    <cellStyle name="20% - ส่วนที่ถูกเน้น5" xfId="35" builtinId="46" customBuiltin="1"/>
    <cellStyle name="20% - ส่วนที่ถูกเน้น6" xfId="39" builtinId="50" customBuiltin="1"/>
    <cellStyle name="40% - ส่วนที่ถูกเน้น1" xfId="20" builtinId="31" customBuiltin="1"/>
    <cellStyle name="40% - ส่วนที่ถูกเน้น2" xfId="24" builtinId="35" customBuiltin="1"/>
    <cellStyle name="40% - ส่วนที่ถูกเน้น3" xfId="28" builtinId="39" customBuiltin="1"/>
    <cellStyle name="40% - ส่วนที่ถูกเน้น4" xfId="32" builtinId="43" customBuiltin="1"/>
    <cellStyle name="40% - ส่วนที่ถูกเน้น5" xfId="36" builtinId="47" customBuiltin="1"/>
    <cellStyle name="40% - ส่วนที่ถูกเน้น6" xfId="40" builtinId="51" customBuiltin="1"/>
    <cellStyle name="60% - ส่วนที่ถูกเน้น1" xfId="21" builtinId="32" customBuiltin="1"/>
    <cellStyle name="60% - ส่วนที่ถูกเน้น2" xfId="25" builtinId="36" customBuiltin="1"/>
    <cellStyle name="60% - ส่วนที่ถูกเน้น3" xfId="29" builtinId="40" customBuiltin="1"/>
    <cellStyle name="60% - ส่วนที่ถูกเน้น4" xfId="33" builtinId="44" customBuiltin="1"/>
    <cellStyle name="60% - ส่วนที่ถูกเน้น5" xfId="37" builtinId="48" customBuiltin="1"/>
    <cellStyle name="60% - ส่วนที่ถูกเน้น6" xfId="41" builtinId="52" customBuiltin="1"/>
    <cellStyle name="การคำนวณ" xfId="11" builtinId="22" customBuiltin="1"/>
    <cellStyle name="ข้อความเตือน" xfId="14" builtinId="11" customBuiltin="1"/>
    <cellStyle name="ข้อความอธิบาย" xfId="16" builtinId="53" customBuiltin="1"/>
    <cellStyle name="ชื่อเรื่อง" xfId="1" builtinId="15" customBuiltin="1"/>
    <cellStyle name="เซลล์ตรวจสอบ" xfId="13" builtinId="23" customBuiltin="1"/>
    <cellStyle name="เซลล์ที่มีลิงก์" xfId="12" builtinId="24" customBuiltin="1"/>
    <cellStyle name="ดี" xfId="6" builtinId="26" customBuiltin="1"/>
    <cellStyle name="ปกติ" xfId="0" builtinId="0"/>
    <cellStyle name="ป้อนค่า" xfId="9" builtinId="20" customBuiltin="1"/>
    <cellStyle name="ปานกลาง" xfId="8" builtinId="28" customBuiltin="1"/>
    <cellStyle name="ผลรวม" xfId="17" builtinId="25" customBuiltin="1"/>
    <cellStyle name="แย่" xfId="7" builtinId="27" customBuiltin="1"/>
    <cellStyle name="ส่วนที่ถูกเน้น1" xfId="18" builtinId="29" customBuiltin="1"/>
    <cellStyle name="ส่วนที่ถูกเน้น2" xfId="22" builtinId="33" customBuiltin="1"/>
    <cellStyle name="ส่วนที่ถูกเน้น3" xfId="26" builtinId="37" customBuiltin="1"/>
    <cellStyle name="ส่วนที่ถูกเน้น4" xfId="30" builtinId="41" customBuiltin="1"/>
    <cellStyle name="ส่วนที่ถูกเน้น5" xfId="34" builtinId="45" customBuiltin="1"/>
    <cellStyle name="ส่วนที่ถูกเน้น6" xfId="38" builtinId="49" customBuiltin="1"/>
    <cellStyle name="แสดงผล" xfId="10" builtinId="21" customBuiltin="1"/>
    <cellStyle name="หมายเหตุ" xfId="15" builtinId="10" customBuiltin="1"/>
    <cellStyle name="หัวเรื่อง 1" xfId="2" builtinId="16" customBuiltin="1"/>
    <cellStyle name="หัวเรื่อง 2" xfId="3" builtinId="17" customBuiltin="1"/>
    <cellStyle name="หัวเรื่อง 3" xfId="4" builtinId="18" customBuiltin="1"/>
    <cellStyle name="หัวเรื่อง 4" xfId="5" builtinId="1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80989-E15A-4565-A4E2-F5268CA13BBB}">
  <dimension ref="A1:U43"/>
  <sheetViews>
    <sheetView workbookViewId="0">
      <selection activeCell="T2" sqref="T2"/>
    </sheetView>
  </sheetViews>
  <sheetFormatPr defaultRowHeight="14.25"/>
  <cols>
    <col min="5" max="16" width="9" customWidth="1"/>
    <col min="17" max="17" width="12.875" customWidth="1"/>
    <col min="19" max="19" width="11.875" bestFit="1" customWidth="1"/>
    <col min="20" max="20" width="13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F1" t="s">
        <v>81</v>
      </c>
      <c r="G1" t="s">
        <v>155</v>
      </c>
      <c r="H1" t="s">
        <v>82</v>
      </c>
      <c r="J1" t="s">
        <v>153</v>
      </c>
      <c r="K1" t="s">
        <v>83</v>
      </c>
      <c r="M1" t="s">
        <v>154</v>
      </c>
      <c r="N1" t="s">
        <v>84</v>
      </c>
      <c r="O1" t="s">
        <v>85</v>
      </c>
      <c r="P1" t="s">
        <v>151</v>
      </c>
      <c r="Q1" t="s">
        <v>152</v>
      </c>
      <c r="R1" s="10" t="s">
        <v>158</v>
      </c>
      <c r="S1" s="11">
        <f>AVERAGE(S2:S40)</f>
        <v>191.58303333333333</v>
      </c>
      <c r="T1" s="11">
        <f>AVERAGE(T2:T40)</f>
        <v>27.369004761904755</v>
      </c>
    </row>
    <row r="2" spans="1:21">
      <c r="A2">
        <v>29141</v>
      </c>
      <c r="B2">
        <v>1</v>
      </c>
      <c r="C2" t="s">
        <v>4</v>
      </c>
      <c r="D2" t="s">
        <v>5</v>
      </c>
      <c r="E2">
        <v>15</v>
      </c>
      <c r="F2" s="2">
        <v>0</v>
      </c>
      <c r="G2">
        <f>SUM(E2:F2)</f>
        <v>15</v>
      </c>
      <c r="H2">
        <v>12</v>
      </c>
      <c r="I2" s="1">
        <v>7.47</v>
      </c>
      <c r="J2">
        <f>SUM(H2:I2)</f>
        <v>19.47</v>
      </c>
      <c r="K2">
        <v>15</v>
      </c>
      <c r="N2">
        <v>40</v>
      </c>
      <c r="O2">
        <v>18</v>
      </c>
      <c r="P2">
        <v>15</v>
      </c>
      <c r="Q2">
        <v>53</v>
      </c>
      <c r="S2" s="9">
        <f>SUM(G2+J2+K2+N2+O2+P2+Q2)</f>
        <v>175.47</v>
      </c>
      <c r="T2" s="9">
        <f>S2/7</f>
        <v>25.067142857142859</v>
      </c>
      <c r="U2" t="str">
        <f>IF(T2&gt;= 27.37,"สูงกว่าค่าเฉลี่ย","")</f>
        <v/>
      </c>
    </row>
    <row r="3" spans="1:21">
      <c r="A3">
        <v>29168</v>
      </c>
      <c r="B3">
        <v>2</v>
      </c>
      <c r="C3" t="s">
        <v>6</v>
      </c>
      <c r="D3" t="s">
        <v>7</v>
      </c>
      <c r="E3">
        <v>12</v>
      </c>
      <c r="F3" s="2">
        <v>0</v>
      </c>
      <c r="G3">
        <f t="shared" ref="G3:G40" si="0">SUM(E3:F3)</f>
        <v>12</v>
      </c>
      <c r="H3">
        <v>17</v>
      </c>
      <c r="I3" s="1">
        <v>8.5399999999999991</v>
      </c>
      <c r="J3">
        <f t="shared" ref="J3:J40" si="1">SUM(H3:I3)</f>
        <v>25.54</v>
      </c>
      <c r="K3">
        <v>6</v>
      </c>
      <c r="N3">
        <v>42</v>
      </c>
      <c r="O3">
        <v>32</v>
      </c>
      <c r="P3">
        <v>23</v>
      </c>
      <c r="Q3">
        <v>35</v>
      </c>
      <c r="S3" s="9">
        <f t="shared" ref="S3:S40" si="2">SUM(G3+J3+K3+N3+O3+P3+Q3)</f>
        <v>175.54</v>
      </c>
      <c r="T3" s="9">
        <f t="shared" ref="T3:T40" si="3">S3/7</f>
        <v>25.077142857142857</v>
      </c>
      <c r="U3" t="str">
        <f t="shared" ref="U3:U40" si="4">IF(T3&gt;= 27.37,"สูงกว่าค่าเฉลี่ย","")</f>
        <v/>
      </c>
    </row>
    <row r="4" spans="1:21">
      <c r="A4">
        <v>29177</v>
      </c>
      <c r="B4">
        <v>3</v>
      </c>
      <c r="C4" t="s">
        <v>8</v>
      </c>
      <c r="D4" t="s">
        <v>9</v>
      </c>
      <c r="E4">
        <v>15</v>
      </c>
      <c r="F4" s="2">
        <v>0</v>
      </c>
      <c r="G4">
        <f t="shared" si="0"/>
        <v>15</v>
      </c>
      <c r="H4">
        <v>26</v>
      </c>
      <c r="I4" s="1">
        <v>10.67</v>
      </c>
      <c r="J4">
        <f t="shared" si="1"/>
        <v>36.67</v>
      </c>
      <c r="K4">
        <v>15</v>
      </c>
      <c r="N4">
        <v>26</v>
      </c>
      <c r="O4">
        <v>26</v>
      </c>
      <c r="P4">
        <v>23</v>
      </c>
      <c r="Q4">
        <v>31</v>
      </c>
      <c r="S4" s="9">
        <f t="shared" si="2"/>
        <v>172.67000000000002</v>
      </c>
      <c r="T4" s="9">
        <f t="shared" si="3"/>
        <v>24.66714285714286</v>
      </c>
      <c r="U4" t="str">
        <f t="shared" si="4"/>
        <v/>
      </c>
    </row>
    <row r="5" spans="1:21">
      <c r="A5">
        <v>29180</v>
      </c>
      <c r="B5">
        <v>4</v>
      </c>
      <c r="C5" t="s">
        <v>10</v>
      </c>
      <c r="D5" t="s">
        <v>11</v>
      </c>
      <c r="E5">
        <v>36</v>
      </c>
      <c r="F5" s="2">
        <v>0</v>
      </c>
      <c r="G5">
        <f t="shared" si="0"/>
        <v>36</v>
      </c>
      <c r="H5">
        <v>17</v>
      </c>
      <c r="I5" s="1">
        <v>10.67</v>
      </c>
      <c r="J5">
        <f t="shared" si="1"/>
        <v>27.67</v>
      </c>
      <c r="K5">
        <v>15</v>
      </c>
      <c r="N5">
        <v>32</v>
      </c>
      <c r="O5">
        <v>40</v>
      </c>
      <c r="P5">
        <v>25</v>
      </c>
      <c r="Q5">
        <v>31</v>
      </c>
      <c r="S5" s="9">
        <f t="shared" si="2"/>
        <v>206.67000000000002</v>
      </c>
      <c r="T5" s="9">
        <f t="shared" si="3"/>
        <v>29.524285714285718</v>
      </c>
      <c r="U5" t="str">
        <f t="shared" si="4"/>
        <v>สูงกว่าค่าเฉลี่ย</v>
      </c>
    </row>
    <row r="6" spans="1:21">
      <c r="A6">
        <v>29202</v>
      </c>
      <c r="B6">
        <v>5</v>
      </c>
      <c r="C6" t="s">
        <v>12</v>
      </c>
      <c r="D6" t="s">
        <v>13</v>
      </c>
      <c r="E6">
        <v>15</v>
      </c>
      <c r="F6" s="2">
        <v>0</v>
      </c>
      <c r="G6">
        <f t="shared" si="0"/>
        <v>15</v>
      </c>
      <c r="H6">
        <v>19</v>
      </c>
      <c r="I6" s="1">
        <v>8.5399999999999991</v>
      </c>
      <c r="J6">
        <f t="shared" si="1"/>
        <v>27.54</v>
      </c>
      <c r="K6">
        <v>6</v>
      </c>
      <c r="N6">
        <v>28</v>
      </c>
      <c r="O6">
        <v>40</v>
      </c>
      <c r="P6">
        <v>18</v>
      </c>
      <c r="Q6">
        <v>38</v>
      </c>
      <c r="S6" s="9">
        <f t="shared" si="2"/>
        <v>172.54</v>
      </c>
      <c r="T6" s="9">
        <f t="shared" si="3"/>
        <v>24.648571428571426</v>
      </c>
      <c r="U6" t="str">
        <f t="shared" si="4"/>
        <v/>
      </c>
    </row>
    <row r="7" spans="1:21">
      <c r="A7">
        <v>29256</v>
      </c>
      <c r="B7">
        <v>6</v>
      </c>
      <c r="C7" t="s">
        <v>14</v>
      </c>
      <c r="D7" t="s">
        <v>15</v>
      </c>
      <c r="E7">
        <v>12</v>
      </c>
      <c r="F7" s="2">
        <v>0</v>
      </c>
      <c r="G7">
        <f t="shared" si="0"/>
        <v>12</v>
      </c>
      <c r="H7">
        <v>26</v>
      </c>
      <c r="I7" s="1">
        <v>7.47</v>
      </c>
      <c r="J7">
        <f t="shared" si="1"/>
        <v>33.47</v>
      </c>
      <c r="K7">
        <v>21</v>
      </c>
      <c r="N7">
        <v>38</v>
      </c>
      <c r="O7">
        <v>28</v>
      </c>
      <c r="P7">
        <v>15</v>
      </c>
      <c r="Q7">
        <v>50</v>
      </c>
      <c r="S7" s="9">
        <f t="shared" si="2"/>
        <v>197.47</v>
      </c>
      <c r="T7" s="9">
        <f t="shared" si="3"/>
        <v>28.21</v>
      </c>
      <c r="U7" t="str">
        <f t="shared" si="4"/>
        <v>สูงกว่าค่าเฉลี่ย</v>
      </c>
    </row>
    <row r="8" spans="1:21">
      <c r="A8">
        <v>29263</v>
      </c>
      <c r="B8">
        <v>7</v>
      </c>
      <c r="C8" t="s">
        <v>16</v>
      </c>
      <c r="D8" t="s">
        <v>17</v>
      </c>
      <c r="E8">
        <v>21</v>
      </c>
      <c r="F8" s="2">
        <v>5</v>
      </c>
      <c r="G8">
        <f t="shared" si="0"/>
        <v>26</v>
      </c>
      <c r="H8">
        <v>17</v>
      </c>
      <c r="I8" s="1">
        <v>9.6</v>
      </c>
      <c r="J8">
        <f t="shared" si="1"/>
        <v>26.6</v>
      </c>
      <c r="K8">
        <v>12</v>
      </c>
      <c r="N8">
        <v>40</v>
      </c>
      <c r="O8">
        <v>32</v>
      </c>
      <c r="P8">
        <v>15</v>
      </c>
      <c r="Q8">
        <v>50</v>
      </c>
      <c r="S8" s="9">
        <f t="shared" si="2"/>
        <v>201.6</v>
      </c>
      <c r="T8" s="9">
        <f t="shared" si="3"/>
        <v>28.8</v>
      </c>
      <c r="U8" t="str">
        <f t="shared" si="4"/>
        <v>สูงกว่าค่าเฉลี่ย</v>
      </c>
    </row>
    <row r="9" spans="1:21">
      <c r="A9">
        <v>29264</v>
      </c>
      <c r="B9">
        <v>8</v>
      </c>
      <c r="C9" t="s">
        <v>18</v>
      </c>
      <c r="D9" t="s">
        <v>19</v>
      </c>
      <c r="E9">
        <v>15</v>
      </c>
      <c r="F9" s="2">
        <v>0</v>
      </c>
      <c r="G9">
        <f t="shared" si="0"/>
        <v>15</v>
      </c>
      <c r="H9">
        <v>22</v>
      </c>
      <c r="I9" s="1">
        <v>6.4</v>
      </c>
      <c r="J9">
        <f t="shared" si="1"/>
        <v>28.4</v>
      </c>
      <c r="K9">
        <v>21</v>
      </c>
      <c r="N9">
        <v>44</v>
      </c>
      <c r="O9">
        <v>38</v>
      </c>
      <c r="P9">
        <v>25</v>
      </c>
      <c r="Q9">
        <v>59</v>
      </c>
      <c r="S9" s="9">
        <f t="shared" si="2"/>
        <v>230.4</v>
      </c>
      <c r="T9" s="9">
        <f t="shared" si="3"/>
        <v>32.914285714285718</v>
      </c>
      <c r="U9" t="str">
        <f t="shared" si="4"/>
        <v>สูงกว่าค่าเฉลี่ย</v>
      </c>
    </row>
    <row r="10" spans="1:21">
      <c r="A10">
        <v>29267</v>
      </c>
      <c r="B10">
        <v>9</v>
      </c>
      <c r="C10" t="s">
        <v>20</v>
      </c>
      <c r="D10" t="s">
        <v>15</v>
      </c>
      <c r="E10">
        <v>21</v>
      </c>
      <c r="F10" s="2">
        <v>0</v>
      </c>
      <c r="G10">
        <f t="shared" si="0"/>
        <v>21</v>
      </c>
      <c r="H10">
        <v>34</v>
      </c>
      <c r="I10" s="1">
        <v>13.87</v>
      </c>
      <c r="J10">
        <f t="shared" si="1"/>
        <v>47.87</v>
      </c>
      <c r="K10">
        <v>14</v>
      </c>
      <c r="N10">
        <v>54</v>
      </c>
      <c r="O10">
        <v>42</v>
      </c>
      <c r="P10">
        <v>18</v>
      </c>
      <c r="Q10">
        <v>64</v>
      </c>
      <c r="S10" s="9">
        <f t="shared" si="2"/>
        <v>260.87</v>
      </c>
      <c r="T10" s="9">
        <f t="shared" si="3"/>
        <v>37.267142857142858</v>
      </c>
      <c r="U10" t="str">
        <f t="shared" si="4"/>
        <v>สูงกว่าค่าเฉลี่ย</v>
      </c>
    </row>
    <row r="11" spans="1:21">
      <c r="A11">
        <v>29272</v>
      </c>
      <c r="B11">
        <v>10</v>
      </c>
      <c r="C11" t="s">
        <v>21</v>
      </c>
      <c r="D11" t="s">
        <v>22</v>
      </c>
      <c r="E11">
        <v>15</v>
      </c>
      <c r="F11" s="2">
        <v>0</v>
      </c>
      <c r="G11">
        <f t="shared" si="0"/>
        <v>15</v>
      </c>
      <c r="H11">
        <v>12</v>
      </c>
      <c r="I11" s="1">
        <v>9.6029999999999998</v>
      </c>
      <c r="J11">
        <f t="shared" si="1"/>
        <v>21.603000000000002</v>
      </c>
      <c r="K11">
        <v>21</v>
      </c>
      <c r="N11">
        <v>50</v>
      </c>
      <c r="O11">
        <v>32</v>
      </c>
      <c r="P11">
        <v>30</v>
      </c>
      <c r="Q11">
        <v>61</v>
      </c>
      <c r="S11" s="9">
        <f t="shared" si="2"/>
        <v>230.60300000000001</v>
      </c>
      <c r="T11" s="9">
        <f t="shared" si="3"/>
        <v>32.943285714285715</v>
      </c>
      <c r="U11" t="str">
        <f t="shared" si="4"/>
        <v>สูงกว่าค่าเฉลี่ย</v>
      </c>
    </row>
    <row r="12" spans="1:21">
      <c r="A12">
        <v>29274</v>
      </c>
      <c r="B12">
        <v>11</v>
      </c>
      <c r="C12" t="s">
        <v>23</v>
      </c>
      <c r="D12" t="s">
        <v>24</v>
      </c>
      <c r="E12">
        <v>27</v>
      </c>
      <c r="F12" s="2">
        <v>0</v>
      </c>
      <c r="G12">
        <f t="shared" si="0"/>
        <v>27</v>
      </c>
      <c r="H12">
        <v>24</v>
      </c>
      <c r="I12" s="1">
        <v>6.4</v>
      </c>
      <c r="J12">
        <f t="shared" si="1"/>
        <v>30.4</v>
      </c>
      <c r="K12">
        <v>24</v>
      </c>
      <c r="N12">
        <v>38</v>
      </c>
      <c r="O12">
        <v>36</v>
      </c>
      <c r="P12">
        <v>10</v>
      </c>
      <c r="Q12">
        <v>53</v>
      </c>
      <c r="S12" s="9">
        <f t="shared" si="2"/>
        <v>218.4</v>
      </c>
      <c r="T12" s="9">
        <f t="shared" si="3"/>
        <v>31.2</v>
      </c>
      <c r="U12" t="str">
        <f t="shared" si="4"/>
        <v>สูงกว่าค่าเฉลี่ย</v>
      </c>
    </row>
    <row r="13" spans="1:21">
      <c r="A13">
        <v>29281</v>
      </c>
      <c r="B13">
        <v>12</v>
      </c>
      <c r="C13" t="s">
        <v>25</v>
      </c>
      <c r="D13" t="s">
        <v>26</v>
      </c>
      <c r="E13">
        <v>0</v>
      </c>
      <c r="F13" s="2"/>
      <c r="G13">
        <f t="shared" si="0"/>
        <v>0</v>
      </c>
      <c r="H13">
        <v>0</v>
      </c>
      <c r="I13" s="1"/>
      <c r="J13">
        <f t="shared" si="1"/>
        <v>0</v>
      </c>
      <c r="K13">
        <v>0</v>
      </c>
      <c r="N13">
        <v>0</v>
      </c>
      <c r="O13">
        <v>0</v>
      </c>
      <c r="P13">
        <v>0</v>
      </c>
      <c r="Q13">
        <v>0</v>
      </c>
      <c r="S13" s="9"/>
      <c r="T13" s="9"/>
      <c r="U13" t="str">
        <f t="shared" si="4"/>
        <v/>
      </c>
    </row>
    <row r="14" spans="1:21">
      <c r="A14">
        <v>29289</v>
      </c>
      <c r="B14">
        <v>13</v>
      </c>
      <c r="C14" t="s">
        <v>27</v>
      </c>
      <c r="D14" t="s">
        <v>28</v>
      </c>
      <c r="E14">
        <v>24</v>
      </c>
      <c r="F14" s="2">
        <v>0</v>
      </c>
      <c r="G14">
        <f t="shared" si="0"/>
        <v>24</v>
      </c>
      <c r="H14">
        <v>26</v>
      </c>
      <c r="I14" s="1">
        <v>8.5399999999999991</v>
      </c>
      <c r="J14">
        <f t="shared" si="1"/>
        <v>34.54</v>
      </c>
      <c r="K14">
        <v>3</v>
      </c>
      <c r="N14">
        <v>38</v>
      </c>
      <c r="O14">
        <v>22</v>
      </c>
      <c r="P14">
        <v>13</v>
      </c>
      <c r="Q14">
        <v>31</v>
      </c>
      <c r="S14" s="9">
        <f t="shared" si="2"/>
        <v>165.54</v>
      </c>
      <c r="T14" s="9">
        <f t="shared" si="3"/>
        <v>23.648571428571426</v>
      </c>
      <c r="U14" t="str">
        <f t="shared" si="4"/>
        <v/>
      </c>
    </row>
    <row r="15" spans="1:21">
      <c r="A15">
        <v>29291</v>
      </c>
      <c r="B15">
        <v>14</v>
      </c>
      <c r="C15" t="s">
        <v>29</v>
      </c>
      <c r="D15" t="s">
        <v>30</v>
      </c>
      <c r="E15">
        <v>18</v>
      </c>
      <c r="F15" s="2">
        <v>0</v>
      </c>
      <c r="G15">
        <f t="shared" si="0"/>
        <v>18</v>
      </c>
      <c r="H15">
        <v>26</v>
      </c>
      <c r="I15" s="1">
        <v>10.667</v>
      </c>
      <c r="J15">
        <f t="shared" si="1"/>
        <v>36.667000000000002</v>
      </c>
      <c r="K15">
        <v>12</v>
      </c>
      <c r="N15">
        <v>34</v>
      </c>
      <c r="O15">
        <v>42</v>
      </c>
      <c r="P15">
        <v>18</v>
      </c>
      <c r="Q15">
        <v>41</v>
      </c>
      <c r="S15" s="9">
        <f t="shared" si="2"/>
        <v>201.667</v>
      </c>
      <c r="T15" s="9">
        <f t="shared" si="3"/>
        <v>28.809571428571427</v>
      </c>
      <c r="U15" t="str">
        <f t="shared" si="4"/>
        <v>สูงกว่าค่าเฉลี่ย</v>
      </c>
    </row>
    <row r="16" spans="1:21">
      <c r="A16">
        <v>29292</v>
      </c>
      <c r="B16">
        <v>15</v>
      </c>
      <c r="C16" t="s">
        <v>31</v>
      </c>
      <c r="D16" t="s">
        <v>32</v>
      </c>
      <c r="E16">
        <v>0</v>
      </c>
      <c r="F16" s="2"/>
      <c r="G16">
        <f t="shared" si="0"/>
        <v>0</v>
      </c>
      <c r="H16">
        <v>0</v>
      </c>
      <c r="I16" s="1"/>
      <c r="J16">
        <f t="shared" si="1"/>
        <v>0</v>
      </c>
      <c r="K16">
        <v>0</v>
      </c>
      <c r="N16">
        <v>0</v>
      </c>
      <c r="O16">
        <v>0</v>
      </c>
      <c r="P16">
        <v>0</v>
      </c>
      <c r="Q16">
        <v>0</v>
      </c>
      <c r="S16" s="9"/>
      <c r="T16" s="9"/>
      <c r="U16" t="str">
        <f t="shared" si="4"/>
        <v/>
      </c>
    </row>
    <row r="17" spans="1:21">
      <c r="A17">
        <v>29308</v>
      </c>
      <c r="B17">
        <v>16</v>
      </c>
      <c r="C17" t="s">
        <v>33</v>
      </c>
      <c r="D17" t="s">
        <v>34</v>
      </c>
      <c r="E17">
        <v>9</v>
      </c>
      <c r="F17" s="2">
        <v>0</v>
      </c>
      <c r="G17">
        <f t="shared" si="0"/>
        <v>9</v>
      </c>
      <c r="H17">
        <v>22</v>
      </c>
      <c r="I17" s="1">
        <v>5.34</v>
      </c>
      <c r="J17">
        <f t="shared" si="1"/>
        <v>27.34</v>
      </c>
      <c r="K17">
        <v>9</v>
      </c>
      <c r="N17">
        <v>46</v>
      </c>
      <c r="O17">
        <v>36</v>
      </c>
      <c r="P17">
        <v>20</v>
      </c>
      <c r="Q17">
        <v>48</v>
      </c>
      <c r="S17" s="9">
        <f t="shared" si="2"/>
        <v>195.34</v>
      </c>
      <c r="T17" s="9">
        <f t="shared" si="3"/>
        <v>27.905714285714286</v>
      </c>
      <c r="U17" t="str">
        <f t="shared" si="4"/>
        <v>สูงกว่าค่าเฉลี่ย</v>
      </c>
    </row>
    <row r="18" spans="1:21">
      <c r="A18">
        <v>29441</v>
      </c>
      <c r="B18">
        <v>17</v>
      </c>
      <c r="C18" t="s">
        <v>35</v>
      </c>
      <c r="D18" t="s">
        <v>36</v>
      </c>
      <c r="E18">
        <v>0</v>
      </c>
      <c r="F18" s="2"/>
      <c r="G18">
        <f t="shared" si="0"/>
        <v>0</v>
      </c>
      <c r="H18">
        <v>0</v>
      </c>
      <c r="I18" s="1"/>
      <c r="J18">
        <f t="shared" si="1"/>
        <v>0</v>
      </c>
      <c r="K18">
        <v>0</v>
      </c>
      <c r="N18">
        <v>0</v>
      </c>
      <c r="O18">
        <v>0</v>
      </c>
      <c r="P18">
        <v>0</v>
      </c>
      <c r="Q18">
        <v>0</v>
      </c>
      <c r="S18" s="9"/>
      <c r="T18" s="9"/>
      <c r="U18" t="str">
        <f t="shared" si="4"/>
        <v/>
      </c>
    </row>
    <row r="19" spans="1:21">
      <c r="A19">
        <v>29460</v>
      </c>
      <c r="B19">
        <v>18</v>
      </c>
      <c r="C19" t="s">
        <v>37</v>
      </c>
      <c r="D19" t="s">
        <v>38</v>
      </c>
      <c r="E19">
        <v>9</v>
      </c>
      <c r="F19" s="2">
        <v>0</v>
      </c>
      <c r="G19">
        <f t="shared" si="0"/>
        <v>9</v>
      </c>
      <c r="H19">
        <v>10</v>
      </c>
      <c r="I19" s="1">
        <v>7.47</v>
      </c>
      <c r="J19">
        <f t="shared" si="1"/>
        <v>17.47</v>
      </c>
      <c r="K19">
        <v>21</v>
      </c>
      <c r="N19">
        <v>36</v>
      </c>
      <c r="O19">
        <v>28</v>
      </c>
      <c r="P19">
        <v>18</v>
      </c>
      <c r="Q19">
        <v>41</v>
      </c>
      <c r="S19" s="9">
        <f t="shared" si="2"/>
        <v>170.47</v>
      </c>
      <c r="T19" s="9">
        <f t="shared" si="3"/>
        <v>24.352857142857143</v>
      </c>
      <c r="U19" t="str">
        <f t="shared" si="4"/>
        <v/>
      </c>
    </row>
    <row r="20" spans="1:21">
      <c r="A20">
        <v>29465</v>
      </c>
      <c r="B20">
        <v>19</v>
      </c>
      <c r="C20" t="s">
        <v>39</v>
      </c>
      <c r="D20" t="s">
        <v>40</v>
      </c>
      <c r="E20">
        <v>30</v>
      </c>
      <c r="F20" s="2">
        <v>5</v>
      </c>
      <c r="G20">
        <f t="shared" si="0"/>
        <v>35</v>
      </c>
      <c r="H20">
        <v>36</v>
      </c>
      <c r="I20" s="1">
        <v>9.6</v>
      </c>
      <c r="J20">
        <f t="shared" si="1"/>
        <v>45.6</v>
      </c>
      <c r="K20">
        <v>24</v>
      </c>
      <c r="N20">
        <v>40</v>
      </c>
      <c r="O20">
        <v>26</v>
      </c>
      <c r="P20">
        <v>15</v>
      </c>
      <c r="Q20">
        <v>69</v>
      </c>
      <c r="S20" s="9">
        <f t="shared" si="2"/>
        <v>254.6</v>
      </c>
      <c r="T20" s="9">
        <f t="shared" si="3"/>
        <v>36.371428571428574</v>
      </c>
      <c r="U20" t="str">
        <f t="shared" si="4"/>
        <v>สูงกว่าค่าเฉลี่ย</v>
      </c>
    </row>
    <row r="21" spans="1:21">
      <c r="A21">
        <v>29476</v>
      </c>
      <c r="B21">
        <v>20</v>
      </c>
      <c r="C21" t="s">
        <v>41</v>
      </c>
      <c r="D21" t="s">
        <v>42</v>
      </c>
      <c r="E21">
        <v>18</v>
      </c>
      <c r="F21" s="2">
        <v>0</v>
      </c>
      <c r="G21">
        <f t="shared" si="0"/>
        <v>18</v>
      </c>
      <c r="H21">
        <v>17</v>
      </c>
      <c r="I21" s="1">
        <v>10.67</v>
      </c>
      <c r="J21">
        <f t="shared" si="1"/>
        <v>27.67</v>
      </c>
      <c r="K21">
        <v>15</v>
      </c>
      <c r="N21">
        <v>16</v>
      </c>
      <c r="O21">
        <v>32</v>
      </c>
      <c r="P21">
        <v>15</v>
      </c>
      <c r="Q21">
        <v>45</v>
      </c>
      <c r="S21" s="9">
        <f t="shared" si="2"/>
        <v>168.67000000000002</v>
      </c>
      <c r="T21" s="9">
        <f t="shared" si="3"/>
        <v>24.095714285714287</v>
      </c>
      <c r="U21" t="str">
        <f t="shared" si="4"/>
        <v/>
      </c>
    </row>
    <row r="22" spans="1:21">
      <c r="A22">
        <v>29481</v>
      </c>
      <c r="B22">
        <v>21</v>
      </c>
      <c r="C22" t="s">
        <v>43</v>
      </c>
      <c r="D22" t="s">
        <v>44</v>
      </c>
      <c r="E22">
        <v>9</v>
      </c>
      <c r="F22" s="2">
        <v>5</v>
      </c>
      <c r="G22">
        <f t="shared" si="0"/>
        <v>14</v>
      </c>
      <c r="H22">
        <v>31</v>
      </c>
      <c r="I22" s="1">
        <v>7.47</v>
      </c>
      <c r="J22">
        <f t="shared" si="1"/>
        <v>38.47</v>
      </c>
      <c r="K22">
        <v>18</v>
      </c>
      <c r="N22">
        <v>46</v>
      </c>
      <c r="O22">
        <v>38</v>
      </c>
      <c r="P22">
        <v>20</v>
      </c>
      <c r="Q22">
        <v>54</v>
      </c>
      <c r="S22" s="9">
        <f t="shared" si="2"/>
        <v>228.47</v>
      </c>
      <c r="T22" s="9">
        <f t="shared" si="3"/>
        <v>32.638571428571431</v>
      </c>
      <c r="U22" t="str">
        <f t="shared" si="4"/>
        <v>สูงกว่าค่าเฉลี่ย</v>
      </c>
    </row>
    <row r="23" spans="1:21">
      <c r="A23">
        <v>29482</v>
      </c>
      <c r="B23">
        <v>22</v>
      </c>
      <c r="C23" t="s">
        <v>45</v>
      </c>
      <c r="D23" t="s">
        <v>46</v>
      </c>
      <c r="E23">
        <v>0</v>
      </c>
      <c r="F23" s="2"/>
      <c r="G23">
        <f t="shared" si="0"/>
        <v>0</v>
      </c>
      <c r="H23">
        <v>0</v>
      </c>
      <c r="I23" s="1"/>
      <c r="J23">
        <f t="shared" si="1"/>
        <v>0</v>
      </c>
      <c r="K23">
        <v>0</v>
      </c>
      <c r="N23">
        <v>0</v>
      </c>
      <c r="O23">
        <v>0</v>
      </c>
      <c r="P23">
        <v>0</v>
      </c>
      <c r="Q23">
        <v>0</v>
      </c>
      <c r="S23" s="9"/>
      <c r="T23" s="9"/>
      <c r="U23" t="str">
        <f t="shared" si="4"/>
        <v/>
      </c>
    </row>
    <row r="24" spans="1:21">
      <c r="A24">
        <v>29484</v>
      </c>
      <c r="B24">
        <v>23</v>
      </c>
      <c r="C24" t="s">
        <v>47</v>
      </c>
      <c r="D24" t="s">
        <v>48</v>
      </c>
      <c r="E24">
        <v>12</v>
      </c>
      <c r="F24" s="2">
        <v>0</v>
      </c>
      <c r="G24">
        <f t="shared" si="0"/>
        <v>12</v>
      </c>
      <c r="H24">
        <v>34</v>
      </c>
      <c r="I24" s="1">
        <v>9.5969999999999995</v>
      </c>
      <c r="J24">
        <f t="shared" si="1"/>
        <v>43.597000000000001</v>
      </c>
      <c r="K24">
        <v>12</v>
      </c>
      <c r="N24">
        <v>38</v>
      </c>
      <c r="O24">
        <v>30</v>
      </c>
      <c r="P24">
        <v>8</v>
      </c>
      <c r="Q24">
        <v>38</v>
      </c>
      <c r="S24" s="9">
        <f t="shared" si="2"/>
        <v>181.59700000000001</v>
      </c>
      <c r="T24" s="9">
        <f t="shared" si="3"/>
        <v>25.942428571428572</v>
      </c>
      <c r="U24" t="str">
        <f t="shared" si="4"/>
        <v/>
      </c>
    </row>
    <row r="25" spans="1:21">
      <c r="A25">
        <v>29485</v>
      </c>
      <c r="B25">
        <v>24</v>
      </c>
      <c r="C25" t="s">
        <v>49</v>
      </c>
      <c r="D25" t="s">
        <v>50</v>
      </c>
      <c r="E25">
        <v>27</v>
      </c>
      <c r="F25" s="2">
        <v>0</v>
      </c>
      <c r="G25">
        <f t="shared" si="0"/>
        <v>27</v>
      </c>
      <c r="H25">
        <v>19</v>
      </c>
      <c r="I25" s="1">
        <v>5.34</v>
      </c>
      <c r="J25">
        <f t="shared" si="1"/>
        <v>24.34</v>
      </c>
      <c r="K25">
        <v>18</v>
      </c>
      <c r="N25">
        <v>36</v>
      </c>
      <c r="O25">
        <v>36</v>
      </c>
      <c r="P25">
        <v>18</v>
      </c>
      <c r="Q25">
        <v>43</v>
      </c>
      <c r="S25" s="9">
        <f t="shared" si="2"/>
        <v>202.34</v>
      </c>
      <c r="T25" s="9">
        <f t="shared" si="3"/>
        <v>28.905714285714286</v>
      </c>
      <c r="U25" t="str">
        <f t="shared" si="4"/>
        <v>สูงกว่าค่าเฉลี่ย</v>
      </c>
    </row>
    <row r="26" spans="1:21">
      <c r="A26">
        <v>29486</v>
      </c>
      <c r="B26">
        <v>25</v>
      </c>
      <c r="C26" t="s">
        <v>51</v>
      </c>
      <c r="D26" t="s">
        <v>52</v>
      </c>
      <c r="E26">
        <v>0</v>
      </c>
      <c r="F26" s="2"/>
      <c r="G26">
        <f t="shared" si="0"/>
        <v>0</v>
      </c>
      <c r="H26">
        <v>24</v>
      </c>
      <c r="I26" s="1">
        <v>8.5340000000000007</v>
      </c>
      <c r="J26">
        <f t="shared" si="1"/>
        <v>32.533999999999999</v>
      </c>
      <c r="K26">
        <v>9</v>
      </c>
      <c r="N26">
        <v>38</v>
      </c>
      <c r="O26">
        <v>32</v>
      </c>
      <c r="P26">
        <v>0</v>
      </c>
      <c r="Q26">
        <v>0</v>
      </c>
      <c r="S26" s="9">
        <f t="shared" si="2"/>
        <v>111.53399999999999</v>
      </c>
      <c r="T26" s="9">
        <f t="shared" si="3"/>
        <v>15.933428571428569</v>
      </c>
      <c r="U26" t="str">
        <f t="shared" si="4"/>
        <v/>
      </c>
    </row>
    <row r="27" spans="1:21">
      <c r="A27">
        <v>29491</v>
      </c>
      <c r="B27">
        <v>26</v>
      </c>
      <c r="C27" t="s">
        <v>53</v>
      </c>
      <c r="D27" t="s">
        <v>54</v>
      </c>
      <c r="E27">
        <v>0</v>
      </c>
      <c r="F27" s="2"/>
      <c r="G27">
        <f t="shared" si="0"/>
        <v>0</v>
      </c>
      <c r="H27">
        <v>0</v>
      </c>
      <c r="I27" s="1"/>
      <c r="J27">
        <f t="shared" si="1"/>
        <v>0</v>
      </c>
      <c r="K27">
        <v>0</v>
      </c>
      <c r="N27">
        <v>0</v>
      </c>
      <c r="O27">
        <v>0</v>
      </c>
      <c r="P27">
        <v>0</v>
      </c>
      <c r="Q27">
        <v>0</v>
      </c>
      <c r="S27" s="9"/>
      <c r="T27" s="9"/>
      <c r="U27" t="str">
        <f t="shared" si="4"/>
        <v/>
      </c>
    </row>
    <row r="28" spans="1:21">
      <c r="A28">
        <v>29644</v>
      </c>
      <c r="B28">
        <v>27</v>
      </c>
      <c r="C28" t="s">
        <v>55</v>
      </c>
      <c r="D28" t="s">
        <v>56</v>
      </c>
      <c r="E28">
        <v>0</v>
      </c>
      <c r="F28" s="2"/>
      <c r="G28">
        <f t="shared" si="0"/>
        <v>0</v>
      </c>
      <c r="H28">
        <v>0</v>
      </c>
      <c r="I28" s="1"/>
      <c r="J28">
        <f t="shared" si="1"/>
        <v>0</v>
      </c>
      <c r="K28">
        <v>0</v>
      </c>
      <c r="N28">
        <v>0</v>
      </c>
      <c r="O28">
        <v>0</v>
      </c>
      <c r="P28">
        <v>0</v>
      </c>
      <c r="Q28">
        <v>0</v>
      </c>
      <c r="S28" s="9"/>
      <c r="T28" s="9"/>
      <c r="U28" t="str">
        <f t="shared" si="4"/>
        <v/>
      </c>
    </row>
    <row r="29" spans="1:21">
      <c r="A29">
        <v>30960</v>
      </c>
      <c r="B29">
        <v>28</v>
      </c>
      <c r="C29" t="s">
        <v>57</v>
      </c>
      <c r="D29" t="s">
        <v>58</v>
      </c>
      <c r="E29">
        <v>21</v>
      </c>
      <c r="F29" s="2">
        <v>0</v>
      </c>
      <c r="G29">
        <f t="shared" si="0"/>
        <v>21</v>
      </c>
      <c r="H29">
        <v>19</v>
      </c>
      <c r="I29" s="1">
        <v>10.67</v>
      </c>
      <c r="J29">
        <f t="shared" si="1"/>
        <v>29.67</v>
      </c>
      <c r="K29">
        <v>12</v>
      </c>
      <c r="N29">
        <v>42</v>
      </c>
      <c r="O29">
        <v>30</v>
      </c>
      <c r="P29">
        <v>15</v>
      </c>
      <c r="Q29">
        <v>45</v>
      </c>
      <c r="S29" s="9">
        <f t="shared" si="2"/>
        <v>194.67000000000002</v>
      </c>
      <c r="T29" s="9">
        <f t="shared" si="3"/>
        <v>27.810000000000002</v>
      </c>
      <c r="U29" t="str">
        <f t="shared" si="4"/>
        <v>สูงกว่าค่าเฉลี่ย</v>
      </c>
    </row>
    <row r="30" spans="1:21">
      <c r="A30">
        <v>30961</v>
      </c>
      <c r="B30">
        <v>29</v>
      </c>
      <c r="C30" t="s">
        <v>59</v>
      </c>
      <c r="D30" t="s">
        <v>60</v>
      </c>
      <c r="E30">
        <v>9</v>
      </c>
      <c r="F30" s="2">
        <v>0</v>
      </c>
      <c r="G30">
        <f t="shared" si="0"/>
        <v>9</v>
      </c>
      <c r="H30">
        <v>26</v>
      </c>
      <c r="I30" s="1">
        <v>10.67</v>
      </c>
      <c r="J30">
        <f t="shared" si="1"/>
        <v>36.67</v>
      </c>
      <c r="K30">
        <v>17</v>
      </c>
      <c r="N30">
        <v>32</v>
      </c>
      <c r="O30">
        <v>36</v>
      </c>
      <c r="P30">
        <v>13</v>
      </c>
      <c r="Q30">
        <v>58</v>
      </c>
      <c r="S30" s="9">
        <f t="shared" si="2"/>
        <v>201.67000000000002</v>
      </c>
      <c r="T30" s="9">
        <f t="shared" si="3"/>
        <v>28.810000000000002</v>
      </c>
      <c r="U30" t="str">
        <f t="shared" si="4"/>
        <v>สูงกว่าค่าเฉลี่ย</v>
      </c>
    </row>
    <row r="31" spans="1:21">
      <c r="A31">
        <v>30966</v>
      </c>
      <c r="B31">
        <v>30</v>
      </c>
      <c r="C31" t="s">
        <v>61</v>
      </c>
      <c r="D31" t="s">
        <v>62</v>
      </c>
      <c r="E31">
        <v>9</v>
      </c>
      <c r="F31" s="2">
        <v>0</v>
      </c>
      <c r="G31">
        <f t="shared" si="0"/>
        <v>9</v>
      </c>
      <c r="H31">
        <v>14</v>
      </c>
      <c r="I31" s="1">
        <v>10.67</v>
      </c>
      <c r="J31">
        <f t="shared" si="1"/>
        <v>24.67</v>
      </c>
      <c r="K31">
        <v>15</v>
      </c>
      <c r="N31">
        <v>30</v>
      </c>
      <c r="O31">
        <v>38</v>
      </c>
      <c r="P31">
        <v>28</v>
      </c>
      <c r="Q31">
        <v>35</v>
      </c>
      <c r="S31" s="9">
        <f t="shared" si="2"/>
        <v>179.67000000000002</v>
      </c>
      <c r="T31" s="9">
        <f t="shared" si="3"/>
        <v>25.66714285714286</v>
      </c>
      <c r="U31" t="str">
        <f t="shared" si="4"/>
        <v/>
      </c>
    </row>
    <row r="32" spans="1:21">
      <c r="A32">
        <v>30967</v>
      </c>
      <c r="B32">
        <v>31</v>
      </c>
      <c r="C32" t="s">
        <v>63</v>
      </c>
      <c r="D32" t="s">
        <v>64</v>
      </c>
      <c r="E32">
        <v>18</v>
      </c>
      <c r="F32" s="2">
        <v>0</v>
      </c>
      <c r="G32">
        <f t="shared" si="0"/>
        <v>18</v>
      </c>
      <c r="H32">
        <v>22</v>
      </c>
      <c r="I32" s="1">
        <v>6.4</v>
      </c>
      <c r="J32">
        <f t="shared" si="1"/>
        <v>28.4</v>
      </c>
      <c r="K32">
        <v>18</v>
      </c>
      <c r="N32">
        <v>32</v>
      </c>
      <c r="O32">
        <v>36</v>
      </c>
      <c r="P32">
        <v>23</v>
      </c>
      <c r="Q32">
        <v>31</v>
      </c>
      <c r="S32" s="9">
        <f t="shared" si="2"/>
        <v>186.4</v>
      </c>
      <c r="T32" s="9">
        <f t="shared" si="3"/>
        <v>26.62857142857143</v>
      </c>
      <c r="U32" t="str">
        <f t="shared" si="4"/>
        <v/>
      </c>
    </row>
    <row r="33" spans="1:21">
      <c r="A33">
        <v>30970</v>
      </c>
      <c r="B33">
        <v>32</v>
      </c>
      <c r="C33" t="s">
        <v>65</v>
      </c>
      <c r="D33" t="s">
        <v>66</v>
      </c>
      <c r="E33">
        <v>15</v>
      </c>
      <c r="F33" s="2">
        <v>0</v>
      </c>
      <c r="G33">
        <f t="shared" si="0"/>
        <v>15</v>
      </c>
      <c r="H33">
        <v>24</v>
      </c>
      <c r="I33" s="1">
        <v>8.5399999999999991</v>
      </c>
      <c r="J33">
        <f t="shared" si="1"/>
        <v>32.54</v>
      </c>
      <c r="K33">
        <v>6</v>
      </c>
      <c r="N33">
        <v>38</v>
      </c>
      <c r="O33">
        <v>32</v>
      </c>
      <c r="P33">
        <v>15</v>
      </c>
      <c r="Q33">
        <v>31</v>
      </c>
      <c r="S33" s="9">
        <f t="shared" si="2"/>
        <v>169.54</v>
      </c>
      <c r="T33" s="9">
        <f t="shared" si="3"/>
        <v>24.22</v>
      </c>
      <c r="U33" t="str">
        <f t="shared" si="4"/>
        <v/>
      </c>
    </row>
    <row r="34" spans="1:21">
      <c r="A34">
        <v>30984</v>
      </c>
      <c r="B34">
        <v>33</v>
      </c>
      <c r="C34" t="s">
        <v>67</v>
      </c>
      <c r="D34" t="s">
        <v>68</v>
      </c>
      <c r="E34">
        <v>18</v>
      </c>
      <c r="F34" s="2">
        <v>5</v>
      </c>
      <c r="G34">
        <f t="shared" si="0"/>
        <v>23</v>
      </c>
      <c r="H34">
        <v>31</v>
      </c>
      <c r="I34" s="1">
        <v>10.67</v>
      </c>
      <c r="J34">
        <f t="shared" si="1"/>
        <v>41.67</v>
      </c>
      <c r="K34">
        <v>18</v>
      </c>
      <c r="N34">
        <v>46</v>
      </c>
      <c r="O34">
        <v>36</v>
      </c>
      <c r="P34">
        <v>15</v>
      </c>
      <c r="Q34">
        <v>38</v>
      </c>
      <c r="S34" s="9">
        <f t="shared" si="2"/>
        <v>217.67000000000002</v>
      </c>
      <c r="T34" s="9">
        <f t="shared" si="3"/>
        <v>31.095714285714287</v>
      </c>
      <c r="U34" t="str">
        <f t="shared" si="4"/>
        <v>สูงกว่าค่าเฉลี่ย</v>
      </c>
    </row>
    <row r="35" spans="1:21">
      <c r="A35">
        <v>30987</v>
      </c>
      <c r="B35">
        <v>34</v>
      </c>
      <c r="C35" t="s">
        <v>69</v>
      </c>
      <c r="D35" t="s">
        <v>70</v>
      </c>
      <c r="E35">
        <v>18</v>
      </c>
      <c r="F35" s="2">
        <v>0</v>
      </c>
      <c r="G35">
        <f t="shared" si="0"/>
        <v>18</v>
      </c>
      <c r="H35">
        <v>19</v>
      </c>
      <c r="I35" s="1">
        <v>8.5399999999999991</v>
      </c>
      <c r="J35">
        <f t="shared" si="1"/>
        <v>27.54</v>
      </c>
      <c r="K35">
        <v>15</v>
      </c>
      <c r="N35">
        <v>38</v>
      </c>
      <c r="O35">
        <v>36</v>
      </c>
      <c r="P35">
        <v>18</v>
      </c>
      <c r="Q35">
        <v>25</v>
      </c>
      <c r="S35" s="9">
        <f t="shared" si="2"/>
        <v>177.54</v>
      </c>
      <c r="T35" s="9">
        <f t="shared" si="3"/>
        <v>25.362857142857141</v>
      </c>
      <c r="U35" t="str">
        <f t="shared" si="4"/>
        <v/>
      </c>
    </row>
    <row r="36" spans="1:21">
      <c r="A36">
        <v>30989</v>
      </c>
      <c r="B36">
        <v>35</v>
      </c>
      <c r="C36" t="s">
        <v>71</v>
      </c>
      <c r="D36" t="s">
        <v>72</v>
      </c>
      <c r="E36">
        <v>9</v>
      </c>
      <c r="F36" s="2">
        <v>0</v>
      </c>
      <c r="G36">
        <f t="shared" si="0"/>
        <v>9</v>
      </c>
      <c r="H36">
        <v>19</v>
      </c>
      <c r="I36" s="1">
        <v>7.47</v>
      </c>
      <c r="J36">
        <f t="shared" si="1"/>
        <v>26.47</v>
      </c>
      <c r="K36">
        <v>21</v>
      </c>
      <c r="N36">
        <v>28</v>
      </c>
      <c r="O36">
        <v>18</v>
      </c>
      <c r="P36">
        <v>10</v>
      </c>
      <c r="Q36">
        <v>31</v>
      </c>
      <c r="S36" s="9">
        <f t="shared" si="2"/>
        <v>143.47</v>
      </c>
      <c r="T36" s="9">
        <f t="shared" si="3"/>
        <v>20.495714285714286</v>
      </c>
      <c r="U36" t="str">
        <f t="shared" si="4"/>
        <v/>
      </c>
    </row>
    <row r="37" spans="1:21">
      <c r="A37">
        <v>31478</v>
      </c>
      <c r="B37">
        <v>36</v>
      </c>
      <c r="C37" t="s">
        <v>73</v>
      </c>
      <c r="D37" t="s">
        <v>74</v>
      </c>
      <c r="E37">
        <v>0</v>
      </c>
      <c r="F37" s="2"/>
      <c r="G37">
        <f t="shared" si="0"/>
        <v>0</v>
      </c>
      <c r="H37">
        <v>0</v>
      </c>
      <c r="I37" s="1"/>
      <c r="J37">
        <f t="shared" si="1"/>
        <v>0</v>
      </c>
      <c r="K37">
        <v>0</v>
      </c>
      <c r="N37">
        <v>0</v>
      </c>
      <c r="O37">
        <v>0</v>
      </c>
      <c r="P37">
        <v>0</v>
      </c>
      <c r="Q37">
        <v>0</v>
      </c>
      <c r="S37" s="9"/>
      <c r="T37" s="9"/>
      <c r="U37" t="str">
        <f t="shared" si="4"/>
        <v/>
      </c>
    </row>
    <row r="38" spans="1:21">
      <c r="A38">
        <v>31483</v>
      </c>
      <c r="B38">
        <v>37</v>
      </c>
      <c r="C38" t="s">
        <v>75</v>
      </c>
      <c r="D38" t="s">
        <v>76</v>
      </c>
      <c r="E38">
        <v>0</v>
      </c>
      <c r="F38" s="2"/>
      <c r="G38">
        <f t="shared" si="0"/>
        <v>0</v>
      </c>
      <c r="H38">
        <v>0</v>
      </c>
      <c r="I38" s="1"/>
      <c r="J38">
        <f t="shared" si="1"/>
        <v>0</v>
      </c>
      <c r="K38">
        <v>0</v>
      </c>
      <c r="N38">
        <v>0</v>
      </c>
      <c r="O38">
        <v>0</v>
      </c>
      <c r="P38">
        <v>0</v>
      </c>
      <c r="Q38">
        <v>0</v>
      </c>
      <c r="S38" s="9"/>
      <c r="T38" s="9"/>
      <c r="U38" t="str">
        <f t="shared" si="4"/>
        <v/>
      </c>
    </row>
    <row r="39" spans="1:21">
      <c r="A39">
        <v>31595</v>
      </c>
      <c r="B39">
        <v>38</v>
      </c>
      <c r="C39" t="s">
        <v>77</v>
      </c>
      <c r="D39" t="s">
        <v>78</v>
      </c>
      <c r="E39">
        <v>0</v>
      </c>
      <c r="F39" s="2"/>
      <c r="G39">
        <f t="shared" si="0"/>
        <v>0</v>
      </c>
      <c r="H39">
        <v>0</v>
      </c>
      <c r="I39" s="1"/>
      <c r="J39">
        <f t="shared" si="1"/>
        <v>0</v>
      </c>
      <c r="K39">
        <v>0</v>
      </c>
      <c r="N39">
        <v>0</v>
      </c>
      <c r="O39">
        <v>0</v>
      </c>
      <c r="P39">
        <v>0</v>
      </c>
      <c r="Q39">
        <v>0</v>
      </c>
      <c r="S39" s="9"/>
      <c r="T39" s="9"/>
      <c r="U39" t="str">
        <f t="shared" si="4"/>
        <v/>
      </c>
    </row>
    <row r="40" spans="1:21">
      <c r="A40">
        <v>31612</v>
      </c>
      <c r="B40">
        <v>39</v>
      </c>
      <c r="C40" t="s">
        <v>79</v>
      </c>
      <c r="D40" t="s">
        <v>80</v>
      </c>
      <c r="E40">
        <v>21</v>
      </c>
      <c r="F40" s="2">
        <v>0</v>
      </c>
      <c r="G40">
        <f t="shared" si="0"/>
        <v>21</v>
      </c>
      <c r="H40">
        <v>10</v>
      </c>
      <c r="I40" s="1">
        <v>6.4</v>
      </c>
      <c r="J40">
        <f t="shared" si="1"/>
        <v>16.399999999999999</v>
      </c>
      <c r="K40">
        <v>6</v>
      </c>
      <c r="N40">
        <v>28</v>
      </c>
      <c r="O40">
        <v>24</v>
      </c>
      <c r="P40">
        <v>15</v>
      </c>
      <c r="Q40">
        <v>44</v>
      </c>
      <c r="S40" s="9">
        <f t="shared" si="2"/>
        <v>154.4</v>
      </c>
      <c r="T40" s="9">
        <f t="shared" si="3"/>
        <v>22.057142857142857</v>
      </c>
      <c r="U40" t="str">
        <f t="shared" si="4"/>
        <v/>
      </c>
    </row>
    <row r="42" spans="1:21">
      <c r="G42" t="str">
        <f>G1</f>
        <v>รวมคณิต</v>
      </c>
      <c r="J42" t="str">
        <f>J1</f>
        <v>รวมชีวะ</v>
      </c>
    </row>
    <row r="43" spans="1:21">
      <c r="G43">
        <f>AVERAGE(G2:G40)</f>
        <v>13.282051282051283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9FD7-DBB7-4214-84F7-7B1B7EAB1CA6}">
  <dimension ref="A1:Q40"/>
  <sheetViews>
    <sheetView tabSelected="1" workbookViewId="0">
      <selection activeCell="P15" sqref="P15"/>
    </sheetView>
  </sheetViews>
  <sheetFormatPr defaultRowHeight="14.25"/>
  <cols>
    <col min="4" max="4" width="15.875" customWidth="1"/>
    <col min="5" max="9" width="9" customWidth="1"/>
    <col min="10" max="10" width="11.875" customWidth="1"/>
    <col min="11" max="13" width="9" customWidth="1"/>
    <col min="15" max="15" width="16" style="9" bestFit="1" customWidth="1"/>
    <col min="16" max="16" width="13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81</v>
      </c>
      <c r="G1" t="s">
        <v>155</v>
      </c>
      <c r="H1" t="s">
        <v>150</v>
      </c>
      <c r="I1" t="s">
        <v>85</v>
      </c>
      <c r="J1" t="s">
        <v>152</v>
      </c>
      <c r="K1" t="s">
        <v>156</v>
      </c>
      <c r="N1" s="10" t="s">
        <v>158</v>
      </c>
      <c r="O1" s="11">
        <f>AVERAGE(O2:O40)</f>
        <v>168.79130434782613</v>
      </c>
      <c r="P1" s="11">
        <f>AVERAGE(P2:P40)</f>
        <v>28.131884057971014</v>
      </c>
    </row>
    <row r="2" spans="1:17" ht="26.25">
      <c r="A2">
        <v>29119</v>
      </c>
      <c r="B2">
        <v>1</v>
      </c>
      <c r="C2" t="s">
        <v>86</v>
      </c>
      <c r="D2" t="s">
        <v>87</v>
      </c>
      <c r="E2">
        <v>12</v>
      </c>
      <c r="F2" s="3"/>
      <c r="G2">
        <f>SUM(E2:F2)</f>
        <v>12</v>
      </c>
      <c r="H2">
        <v>28</v>
      </c>
      <c r="I2">
        <v>32</v>
      </c>
      <c r="J2">
        <v>59</v>
      </c>
      <c r="K2">
        <v>26</v>
      </c>
      <c r="L2" s="5">
        <v>11.2</v>
      </c>
      <c r="M2" s="7"/>
      <c r="O2" s="9">
        <f>SUM(G2:L2)</f>
        <v>168.2</v>
      </c>
      <c r="P2" s="9">
        <f>O2/6</f>
        <v>28.033333333333331</v>
      </c>
      <c r="Q2" t="str">
        <f>IF(P2&gt;=28.13,"สูงกว่าค่าเฉลี่ย","")</f>
        <v/>
      </c>
    </row>
    <row r="3" spans="1:17" ht="26.25">
      <c r="A3">
        <v>29139</v>
      </c>
      <c r="B3">
        <v>2</v>
      </c>
      <c r="C3" t="s">
        <v>88</v>
      </c>
      <c r="D3" t="s">
        <v>89</v>
      </c>
      <c r="E3">
        <v>30</v>
      </c>
      <c r="F3" s="4"/>
      <c r="G3">
        <f t="shared" ref="G3:G17" si="0">SUM(E3:F3)</f>
        <v>30</v>
      </c>
      <c r="H3">
        <v>42</v>
      </c>
      <c r="I3">
        <v>26</v>
      </c>
      <c r="J3">
        <v>44</v>
      </c>
      <c r="K3">
        <v>26</v>
      </c>
      <c r="L3" s="6">
        <v>8.4</v>
      </c>
      <c r="M3" s="8"/>
      <c r="O3" s="9">
        <f t="shared" ref="O3:O34" si="1">SUM(G3:L3)</f>
        <v>176.4</v>
      </c>
      <c r="P3" s="9">
        <f t="shared" ref="P3:P34" si="2">O3/6</f>
        <v>29.400000000000002</v>
      </c>
      <c r="Q3" t="str">
        <f t="shared" ref="Q3:Q34" si="3">IF(P3&gt;=28.13,"สูงกว่าค่าเฉลี่ย","")</f>
        <v>สูงกว่าค่าเฉลี่ย</v>
      </c>
    </row>
    <row r="4" spans="1:17" ht="26.25">
      <c r="A4">
        <v>29140</v>
      </c>
      <c r="B4">
        <v>3</v>
      </c>
      <c r="C4" t="s">
        <v>90</v>
      </c>
      <c r="D4" t="s">
        <v>91</v>
      </c>
      <c r="E4">
        <v>27</v>
      </c>
      <c r="F4" s="3"/>
      <c r="G4">
        <f t="shared" si="0"/>
        <v>27</v>
      </c>
      <c r="H4">
        <v>48</v>
      </c>
      <c r="I4">
        <v>28</v>
      </c>
      <c r="J4">
        <v>71</v>
      </c>
      <c r="K4">
        <v>29</v>
      </c>
      <c r="L4" s="5">
        <v>12.6</v>
      </c>
      <c r="M4" s="7"/>
      <c r="O4" s="9">
        <f t="shared" si="1"/>
        <v>215.6</v>
      </c>
      <c r="P4" s="9">
        <f t="shared" si="2"/>
        <v>35.93333333333333</v>
      </c>
      <c r="Q4" t="str">
        <f t="shared" si="3"/>
        <v>สูงกว่าค่าเฉลี่ย</v>
      </c>
    </row>
    <row r="5" spans="1:17" ht="26.25">
      <c r="A5">
        <v>29146</v>
      </c>
      <c r="B5">
        <v>4</v>
      </c>
      <c r="C5" t="s">
        <v>92</v>
      </c>
      <c r="D5" t="s">
        <v>93</v>
      </c>
      <c r="E5">
        <v>0</v>
      </c>
      <c r="F5" s="4"/>
      <c r="G5">
        <f t="shared" si="0"/>
        <v>0</v>
      </c>
      <c r="H5">
        <v>0</v>
      </c>
      <c r="I5">
        <v>0</v>
      </c>
      <c r="J5">
        <v>0</v>
      </c>
      <c r="K5">
        <v>0</v>
      </c>
      <c r="L5" s="6"/>
      <c r="M5" s="8"/>
      <c r="P5" s="9"/>
      <c r="Q5" t="str">
        <f t="shared" si="3"/>
        <v/>
      </c>
    </row>
    <row r="6" spans="1:17" ht="26.25">
      <c r="A6">
        <v>29147</v>
      </c>
      <c r="B6">
        <v>5</v>
      </c>
      <c r="C6" t="s">
        <v>94</v>
      </c>
      <c r="D6" t="s">
        <v>95</v>
      </c>
      <c r="E6">
        <v>30</v>
      </c>
      <c r="F6" s="3">
        <v>5</v>
      </c>
      <c r="G6">
        <f t="shared" si="0"/>
        <v>35</v>
      </c>
      <c r="H6">
        <v>52</v>
      </c>
      <c r="I6">
        <v>36</v>
      </c>
      <c r="J6">
        <v>34</v>
      </c>
      <c r="K6">
        <v>38</v>
      </c>
      <c r="L6" s="5">
        <v>9.8000000000000007</v>
      </c>
      <c r="M6" s="7"/>
      <c r="O6" s="9">
        <f t="shared" si="1"/>
        <v>204.8</v>
      </c>
      <c r="P6" s="9">
        <f t="shared" si="2"/>
        <v>34.133333333333333</v>
      </c>
      <c r="Q6" t="str">
        <f t="shared" si="3"/>
        <v>สูงกว่าค่าเฉลี่ย</v>
      </c>
    </row>
    <row r="7" spans="1:17" ht="26.25">
      <c r="A7">
        <v>29160</v>
      </c>
      <c r="B7">
        <v>6</v>
      </c>
      <c r="C7" t="s">
        <v>96</v>
      </c>
      <c r="D7" t="s">
        <v>97</v>
      </c>
      <c r="E7">
        <v>33</v>
      </c>
      <c r="F7" s="4"/>
      <c r="G7">
        <f t="shared" si="0"/>
        <v>33</v>
      </c>
      <c r="H7">
        <v>28</v>
      </c>
      <c r="I7">
        <v>30</v>
      </c>
      <c r="J7">
        <v>36</v>
      </c>
      <c r="K7">
        <v>13</v>
      </c>
      <c r="L7" s="6">
        <v>11.2</v>
      </c>
      <c r="M7" s="8"/>
      <c r="O7" s="9">
        <f t="shared" si="1"/>
        <v>151.19999999999999</v>
      </c>
      <c r="P7" s="9">
        <f t="shared" si="2"/>
        <v>25.2</v>
      </c>
      <c r="Q7" t="str">
        <f t="shared" si="3"/>
        <v/>
      </c>
    </row>
    <row r="8" spans="1:17" ht="26.25">
      <c r="A8">
        <v>29166</v>
      </c>
      <c r="B8">
        <v>7</v>
      </c>
      <c r="C8" t="s">
        <v>98</v>
      </c>
      <c r="D8" t="s">
        <v>99</v>
      </c>
      <c r="E8">
        <v>18</v>
      </c>
      <c r="F8" s="3"/>
      <c r="G8">
        <f t="shared" si="0"/>
        <v>18</v>
      </c>
      <c r="H8">
        <v>26</v>
      </c>
      <c r="I8">
        <v>34</v>
      </c>
      <c r="J8">
        <v>41</v>
      </c>
      <c r="K8">
        <v>13</v>
      </c>
      <c r="L8" s="5">
        <v>11.2</v>
      </c>
      <c r="M8" s="7"/>
      <c r="O8" s="9">
        <f t="shared" si="1"/>
        <v>143.19999999999999</v>
      </c>
      <c r="P8" s="9">
        <f t="shared" si="2"/>
        <v>23.866666666666664</v>
      </c>
      <c r="Q8" t="str">
        <f t="shared" si="3"/>
        <v/>
      </c>
    </row>
    <row r="9" spans="1:17" ht="26.25">
      <c r="A9">
        <v>29175</v>
      </c>
      <c r="B9">
        <v>8</v>
      </c>
      <c r="C9" t="s">
        <v>100</v>
      </c>
      <c r="D9" t="s">
        <v>101</v>
      </c>
      <c r="E9">
        <v>0</v>
      </c>
      <c r="F9" s="4"/>
      <c r="G9">
        <f t="shared" si="0"/>
        <v>0</v>
      </c>
      <c r="H9">
        <v>0</v>
      </c>
      <c r="I9">
        <v>0</v>
      </c>
      <c r="J9">
        <v>0</v>
      </c>
      <c r="K9">
        <v>0</v>
      </c>
      <c r="L9" s="6"/>
      <c r="M9" s="8"/>
      <c r="P9" s="9"/>
      <c r="Q9" t="str">
        <f t="shared" si="3"/>
        <v/>
      </c>
    </row>
    <row r="10" spans="1:17" ht="26.25">
      <c r="A10">
        <v>29190</v>
      </c>
      <c r="B10">
        <v>9</v>
      </c>
      <c r="C10" t="s">
        <v>102</v>
      </c>
      <c r="D10" t="s">
        <v>103</v>
      </c>
      <c r="E10">
        <v>9</v>
      </c>
      <c r="F10" s="3">
        <v>5</v>
      </c>
      <c r="G10">
        <f t="shared" si="0"/>
        <v>14</v>
      </c>
      <c r="H10">
        <v>38</v>
      </c>
      <c r="I10">
        <v>40</v>
      </c>
      <c r="J10">
        <v>56</v>
      </c>
      <c r="K10">
        <v>26</v>
      </c>
      <c r="L10" s="5">
        <v>11.2</v>
      </c>
      <c r="M10" s="7"/>
      <c r="O10" s="9">
        <f t="shared" si="1"/>
        <v>185.2</v>
      </c>
      <c r="P10" s="9">
        <f t="shared" si="2"/>
        <v>30.866666666666664</v>
      </c>
      <c r="Q10" t="str">
        <f t="shared" si="3"/>
        <v>สูงกว่าค่าเฉลี่ย</v>
      </c>
    </row>
    <row r="11" spans="1:17" ht="26.25">
      <c r="A11">
        <v>29207</v>
      </c>
      <c r="B11">
        <v>10</v>
      </c>
      <c r="C11" t="s">
        <v>104</v>
      </c>
      <c r="D11" t="s">
        <v>105</v>
      </c>
      <c r="E11">
        <v>0</v>
      </c>
      <c r="F11" s="4"/>
      <c r="G11">
        <f t="shared" si="0"/>
        <v>0</v>
      </c>
      <c r="H11">
        <v>0</v>
      </c>
      <c r="I11">
        <v>0</v>
      </c>
      <c r="J11">
        <v>0</v>
      </c>
      <c r="K11">
        <v>0</v>
      </c>
      <c r="L11" s="6"/>
      <c r="M11" s="8"/>
      <c r="P11" s="9"/>
      <c r="Q11" t="str">
        <f t="shared" si="3"/>
        <v/>
      </c>
    </row>
    <row r="12" spans="1:17" ht="26.25">
      <c r="A12">
        <v>29208</v>
      </c>
      <c r="B12">
        <v>11</v>
      </c>
      <c r="C12" t="s">
        <v>106</v>
      </c>
      <c r="D12" t="s">
        <v>107</v>
      </c>
      <c r="E12">
        <v>0</v>
      </c>
      <c r="F12" s="3"/>
      <c r="G12">
        <f t="shared" si="0"/>
        <v>0</v>
      </c>
      <c r="H12">
        <v>0</v>
      </c>
      <c r="I12">
        <v>0</v>
      </c>
      <c r="J12">
        <v>0</v>
      </c>
      <c r="K12">
        <v>0</v>
      </c>
      <c r="L12" s="5"/>
      <c r="M12" s="7"/>
      <c r="P12" s="9"/>
      <c r="Q12" t="str">
        <f t="shared" si="3"/>
        <v/>
      </c>
    </row>
    <row r="13" spans="1:17" ht="26.25">
      <c r="A13">
        <v>29220</v>
      </c>
      <c r="B13">
        <v>12</v>
      </c>
      <c r="C13" t="s">
        <v>108</v>
      </c>
      <c r="D13" t="s">
        <v>109</v>
      </c>
      <c r="E13">
        <v>15</v>
      </c>
      <c r="F13" s="4"/>
      <c r="G13">
        <f t="shared" si="0"/>
        <v>15</v>
      </c>
      <c r="H13">
        <v>44</v>
      </c>
      <c r="I13">
        <v>36</v>
      </c>
      <c r="J13">
        <v>58</v>
      </c>
      <c r="K13">
        <v>19</v>
      </c>
      <c r="L13" s="6">
        <v>8.4</v>
      </c>
      <c r="M13" s="8"/>
      <c r="O13" s="9">
        <f t="shared" si="1"/>
        <v>180.4</v>
      </c>
      <c r="P13" s="9">
        <f t="shared" si="2"/>
        <v>30.066666666666666</v>
      </c>
      <c r="Q13" t="str">
        <f t="shared" si="3"/>
        <v>สูงกว่าค่าเฉลี่ย</v>
      </c>
    </row>
    <row r="14" spans="1:17" ht="26.25">
      <c r="A14">
        <v>29251</v>
      </c>
      <c r="B14">
        <v>13</v>
      </c>
      <c r="C14" t="s">
        <v>110</v>
      </c>
      <c r="D14" t="s">
        <v>111</v>
      </c>
      <c r="E14">
        <v>0</v>
      </c>
      <c r="F14" s="3"/>
      <c r="G14">
        <f t="shared" si="0"/>
        <v>0</v>
      </c>
      <c r="H14">
        <v>0</v>
      </c>
      <c r="I14">
        <v>0</v>
      </c>
      <c r="J14">
        <v>0</v>
      </c>
      <c r="K14">
        <v>0</v>
      </c>
      <c r="L14" s="5"/>
      <c r="M14" s="7"/>
      <c r="P14" s="9"/>
      <c r="Q14" t="str">
        <f t="shared" si="3"/>
        <v/>
      </c>
    </row>
    <row r="15" spans="1:17" ht="26.25">
      <c r="A15">
        <v>29254</v>
      </c>
      <c r="B15">
        <v>14</v>
      </c>
      <c r="C15" t="s">
        <v>112</v>
      </c>
      <c r="D15" t="s">
        <v>113</v>
      </c>
      <c r="E15">
        <v>15</v>
      </c>
      <c r="F15" s="4"/>
      <c r="G15">
        <f t="shared" si="0"/>
        <v>15</v>
      </c>
      <c r="H15">
        <v>24</v>
      </c>
      <c r="I15">
        <v>24</v>
      </c>
      <c r="J15">
        <v>35</v>
      </c>
      <c r="K15">
        <v>26</v>
      </c>
      <c r="L15" s="6">
        <v>7</v>
      </c>
      <c r="M15" s="8"/>
      <c r="O15" s="9">
        <f t="shared" si="1"/>
        <v>131</v>
      </c>
      <c r="P15" s="9">
        <f t="shared" si="2"/>
        <v>21.833333333333332</v>
      </c>
      <c r="Q15" t="str">
        <f t="shared" si="3"/>
        <v/>
      </c>
    </row>
    <row r="16" spans="1:17" ht="26.25">
      <c r="A16">
        <v>29270</v>
      </c>
      <c r="B16">
        <v>15</v>
      </c>
      <c r="C16" t="s">
        <v>114</v>
      </c>
      <c r="D16" t="s">
        <v>115</v>
      </c>
      <c r="E16">
        <v>15</v>
      </c>
      <c r="F16" s="3"/>
      <c r="G16">
        <f t="shared" si="0"/>
        <v>15</v>
      </c>
      <c r="H16">
        <v>54</v>
      </c>
      <c r="I16">
        <v>42</v>
      </c>
      <c r="J16">
        <v>59</v>
      </c>
      <c r="K16">
        <v>35</v>
      </c>
      <c r="L16" s="5">
        <v>9.8000000000000007</v>
      </c>
      <c r="M16" s="7"/>
      <c r="O16" s="9">
        <f t="shared" si="1"/>
        <v>214.8</v>
      </c>
      <c r="P16" s="9">
        <f t="shared" si="2"/>
        <v>35.800000000000004</v>
      </c>
      <c r="Q16" t="str">
        <f t="shared" si="3"/>
        <v>สูงกว่าค่าเฉลี่ย</v>
      </c>
    </row>
    <row r="17" spans="1:17" ht="26.25">
      <c r="A17">
        <v>29283</v>
      </c>
      <c r="B17">
        <v>16</v>
      </c>
      <c r="C17" t="s">
        <v>116</v>
      </c>
      <c r="D17" t="s">
        <v>117</v>
      </c>
      <c r="E17">
        <v>24</v>
      </c>
      <c r="F17" s="4">
        <v>5</v>
      </c>
      <c r="G17">
        <f t="shared" si="0"/>
        <v>29</v>
      </c>
      <c r="H17">
        <v>42</v>
      </c>
      <c r="I17">
        <v>50</v>
      </c>
      <c r="J17">
        <v>66</v>
      </c>
      <c r="K17">
        <v>32</v>
      </c>
      <c r="L17" s="6">
        <v>12.6</v>
      </c>
      <c r="M17" s="8"/>
      <c r="O17" s="9">
        <f t="shared" si="1"/>
        <v>231.6</v>
      </c>
      <c r="P17" s="9">
        <f t="shared" si="2"/>
        <v>38.6</v>
      </c>
      <c r="Q17" t="str">
        <f t="shared" si="3"/>
        <v>สูงกว่าค่าเฉลี่ย</v>
      </c>
    </row>
    <row r="18" spans="1:17" ht="26.25">
      <c r="C18" s="7" t="s">
        <v>157</v>
      </c>
      <c r="F18" s="4"/>
      <c r="L18" s="5">
        <v>11.2</v>
      </c>
      <c r="M18" s="8"/>
      <c r="O18" s="9">
        <f t="shared" si="1"/>
        <v>11.2</v>
      </c>
      <c r="P18" s="9">
        <f t="shared" si="2"/>
        <v>1.8666666666666665</v>
      </c>
      <c r="Q18" t="str">
        <f t="shared" si="3"/>
        <v/>
      </c>
    </row>
    <row r="19" spans="1:17" ht="21">
      <c r="A19">
        <v>29333</v>
      </c>
      <c r="B19">
        <v>18</v>
      </c>
      <c r="C19" t="s">
        <v>118</v>
      </c>
      <c r="D19" t="s">
        <v>119</v>
      </c>
      <c r="E19">
        <v>0</v>
      </c>
      <c r="F19" s="3"/>
      <c r="G19">
        <f t="shared" ref="G19:G31" si="4">SUM(E19:F19)</f>
        <v>0</v>
      </c>
      <c r="H19">
        <v>0</v>
      </c>
      <c r="I19">
        <v>0</v>
      </c>
      <c r="J19">
        <v>0</v>
      </c>
      <c r="K19">
        <v>0</v>
      </c>
      <c r="L19" s="6"/>
      <c r="P19" s="9"/>
      <c r="Q19" t="str">
        <f t="shared" si="3"/>
        <v/>
      </c>
    </row>
    <row r="20" spans="1:17" ht="26.25">
      <c r="A20">
        <v>29347</v>
      </c>
      <c r="B20">
        <v>19</v>
      </c>
      <c r="C20" t="s">
        <v>120</v>
      </c>
      <c r="D20" t="s">
        <v>121</v>
      </c>
      <c r="E20">
        <v>0</v>
      </c>
      <c r="F20" s="4"/>
      <c r="G20">
        <f t="shared" si="4"/>
        <v>0</v>
      </c>
      <c r="H20">
        <v>0</v>
      </c>
      <c r="I20">
        <v>0</v>
      </c>
      <c r="J20">
        <v>0</v>
      </c>
      <c r="K20">
        <v>0</v>
      </c>
      <c r="L20" s="5"/>
      <c r="M20" s="8"/>
      <c r="P20" s="9"/>
      <c r="Q20" t="str">
        <f t="shared" si="3"/>
        <v/>
      </c>
    </row>
    <row r="21" spans="1:17" ht="26.25">
      <c r="A21">
        <v>29395</v>
      </c>
      <c r="B21">
        <v>20</v>
      </c>
      <c r="C21" t="s">
        <v>122</v>
      </c>
      <c r="D21" t="s">
        <v>123</v>
      </c>
      <c r="E21">
        <v>21</v>
      </c>
      <c r="F21" s="3"/>
      <c r="G21">
        <f t="shared" si="4"/>
        <v>21</v>
      </c>
      <c r="H21">
        <v>24</v>
      </c>
      <c r="I21">
        <v>34</v>
      </c>
      <c r="J21">
        <v>39</v>
      </c>
      <c r="K21">
        <v>10</v>
      </c>
      <c r="L21" s="6">
        <v>8.4</v>
      </c>
      <c r="M21" s="7"/>
      <c r="O21" s="9">
        <f t="shared" si="1"/>
        <v>136.4</v>
      </c>
      <c r="P21" s="9">
        <f t="shared" si="2"/>
        <v>22.733333333333334</v>
      </c>
      <c r="Q21" t="str">
        <f t="shared" si="3"/>
        <v/>
      </c>
    </row>
    <row r="22" spans="1:17" ht="26.25">
      <c r="A22">
        <v>29434</v>
      </c>
      <c r="B22">
        <v>21</v>
      </c>
      <c r="C22" t="s">
        <v>124</v>
      </c>
      <c r="D22" t="s">
        <v>125</v>
      </c>
      <c r="E22">
        <v>30</v>
      </c>
      <c r="F22" s="4">
        <v>5</v>
      </c>
      <c r="G22">
        <f t="shared" si="4"/>
        <v>35</v>
      </c>
      <c r="H22">
        <v>28</v>
      </c>
      <c r="I22">
        <v>38</v>
      </c>
      <c r="J22">
        <v>28</v>
      </c>
      <c r="K22">
        <v>16</v>
      </c>
      <c r="L22" s="5">
        <v>5.6</v>
      </c>
      <c r="M22" s="8"/>
      <c r="O22" s="9">
        <f t="shared" si="1"/>
        <v>150.6</v>
      </c>
      <c r="P22" s="9">
        <f t="shared" si="2"/>
        <v>25.099999999999998</v>
      </c>
      <c r="Q22" t="str">
        <f t="shared" si="3"/>
        <v/>
      </c>
    </row>
    <row r="23" spans="1:17" ht="26.25">
      <c r="A23">
        <v>29456</v>
      </c>
      <c r="B23">
        <v>22</v>
      </c>
      <c r="C23" t="s">
        <v>126</v>
      </c>
      <c r="D23" t="s">
        <v>127</v>
      </c>
      <c r="E23">
        <v>30</v>
      </c>
      <c r="F23" s="3">
        <v>10</v>
      </c>
      <c r="G23">
        <f t="shared" si="4"/>
        <v>40</v>
      </c>
      <c r="H23">
        <v>58</v>
      </c>
      <c r="I23">
        <v>42</v>
      </c>
      <c r="J23">
        <v>83</v>
      </c>
      <c r="K23">
        <v>35</v>
      </c>
      <c r="L23" s="6">
        <v>9.8000000000000007</v>
      </c>
      <c r="M23" s="7"/>
      <c r="O23" s="9">
        <f t="shared" si="1"/>
        <v>267.8</v>
      </c>
      <c r="P23" s="9">
        <f t="shared" si="2"/>
        <v>44.633333333333333</v>
      </c>
      <c r="Q23" t="str">
        <f t="shared" si="3"/>
        <v>สูงกว่าค่าเฉลี่ย</v>
      </c>
    </row>
    <row r="24" spans="1:17" ht="26.25">
      <c r="A24">
        <v>29469</v>
      </c>
      <c r="B24">
        <v>23</v>
      </c>
      <c r="C24" t="s">
        <v>128</v>
      </c>
      <c r="D24" t="s">
        <v>129</v>
      </c>
      <c r="E24">
        <v>0</v>
      </c>
      <c r="F24" s="4"/>
      <c r="G24">
        <f t="shared" si="4"/>
        <v>0</v>
      </c>
      <c r="H24">
        <v>0</v>
      </c>
      <c r="I24">
        <v>0</v>
      </c>
      <c r="J24">
        <v>0</v>
      </c>
      <c r="K24">
        <v>0</v>
      </c>
      <c r="L24" s="5"/>
      <c r="M24" s="8"/>
      <c r="P24" s="9"/>
      <c r="Q24" t="str">
        <f t="shared" si="3"/>
        <v/>
      </c>
    </row>
    <row r="25" spans="1:17" ht="26.25">
      <c r="A25">
        <v>29475</v>
      </c>
      <c r="B25">
        <v>24</v>
      </c>
      <c r="C25" t="s">
        <v>130</v>
      </c>
      <c r="D25" t="s">
        <v>131</v>
      </c>
      <c r="E25">
        <v>27</v>
      </c>
      <c r="F25" s="3"/>
      <c r="G25">
        <f t="shared" si="4"/>
        <v>27</v>
      </c>
      <c r="H25">
        <v>42</v>
      </c>
      <c r="I25">
        <v>40</v>
      </c>
      <c r="J25">
        <v>50</v>
      </c>
      <c r="K25">
        <v>29</v>
      </c>
      <c r="L25" s="6">
        <v>9.8000000000000007</v>
      </c>
      <c r="M25" s="7"/>
      <c r="O25" s="9">
        <f t="shared" si="1"/>
        <v>197.8</v>
      </c>
      <c r="P25" s="9">
        <f t="shared" si="2"/>
        <v>32.966666666666669</v>
      </c>
      <c r="Q25" t="str">
        <f t="shared" si="3"/>
        <v>สูงกว่าค่าเฉลี่ย</v>
      </c>
    </row>
    <row r="26" spans="1:17" ht="26.25">
      <c r="A26">
        <v>30973</v>
      </c>
      <c r="B26">
        <v>25</v>
      </c>
      <c r="C26" t="s">
        <v>132</v>
      </c>
      <c r="D26" t="s">
        <v>133</v>
      </c>
      <c r="E26">
        <v>6</v>
      </c>
      <c r="F26" s="4"/>
      <c r="G26">
        <f t="shared" si="4"/>
        <v>6</v>
      </c>
      <c r="H26">
        <v>42</v>
      </c>
      <c r="I26">
        <v>36</v>
      </c>
      <c r="J26">
        <v>46</v>
      </c>
      <c r="K26">
        <v>26</v>
      </c>
      <c r="L26" s="5">
        <v>7</v>
      </c>
      <c r="M26" s="8"/>
      <c r="O26" s="9">
        <f t="shared" si="1"/>
        <v>163</v>
      </c>
      <c r="P26" s="9">
        <f t="shared" si="2"/>
        <v>27.166666666666668</v>
      </c>
      <c r="Q26" t="str">
        <f t="shared" si="3"/>
        <v/>
      </c>
    </row>
    <row r="27" spans="1:17" ht="26.25">
      <c r="A27">
        <v>30978</v>
      </c>
      <c r="B27">
        <v>26</v>
      </c>
      <c r="C27" t="s">
        <v>134</v>
      </c>
      <c r="D27" t="s">
        <v>135</v>
      </c>
      <c r="E27">
        <v>18</v>
      </c>
      <c r="F27" s="3">
        <v>5</v>
      </c>
      <c r="G27">
        <f t="shared" si="4"/>
        <v>23</v>
      </c>
      <c r="H27">
        <v>16</v>
      </c>
      <c r="I27">
        <v>16</v>
      </c>
      <c r="J27">
        <v>38</v>
      </c>
      <c r="K27">
        <v>29</v>
      </c>
      <c r="L27" s="6">
        <v>2.8</v>
      </c>
      <c r="M27" s="7"/>
      <c r="O27" s="9">
        <f t="shared" si="1"/>
        <v>124.8</v>
      </c>
      <c r="P27" s="9">
        <f t="shared" si="2"/>
        <v>20.8</v>
      </c>
      <c r="Q27" t="str">
        <f t="shared" si="3"/>
        <v/>
      </c>
    </row>
    <row r="28" spans="1:17" ht="26.25">
      <c r="A28">
        <v>30993</v>
      </c>
      <c r="B28">
        <v>27</v>
      </c>
      <c r="C28" t="s">
        <v>136</v>
      </c>
      <c r="D28" t="s">
        <v>137</v>
      </c>
      <c r="E28">
        <v>12</v>
      </c>
      <c r="F28" s="4"/>
      <c r="G28">
        <f t="shared" si="4"/>
        <v>12</v>
      </c>
      <c r="H28">
        <v>48</v>
      </c>
      <c r="I28">
        <v>34</v>
      </c>
      <c r="J28">
        <v>63</v>
      </c>
      <c r="K28">
        <v>35</v>
      </c>
      <c r="L28" s="5">
        <v>8.4</v>
      </c>
      <c r="M28" s="8"/>
      <c r="O28" s="9">
        <f t="shared" si="1"/>
        <v>200.4</v>
      </c>
      <c r="P28" s="9">
        <f t="shared" si="2"/>
        <v>33.4</v>
      </c>
      <c r="Q28" t="str">
        <f t="shared" si="3"/>
        <v>สูงกว่าค่าเฉลี่ย</v>
      </c>
    </row>
    <row r="29" spans="1:17" ht="26.25">
      <c r="A29">
        <v>30994</v>
      </c>
      <c r="B29">
        <v>28</v>
      </c>
      <c r="C29" t="s">
        <v>138</v>
      </c>
      <c r="D29" t="s">
        <v>139</v>
      </c>
      <c r="E29">
        <v>0</v>
      </c>
      <c r="F29" s="3"/>
      <c r="G29">
        <f t="shared" si="4"/>
        <v>0</v>
      </c>
      <c r="H29">
        <v>0</v>
      </c>
      <c r="I29">
        <v>0</v>
      </c>
      <c r="J29">
        <v>0</v>
      </c>
      <c r="K29">
        <v>0</v>
      </c>
      <c r="L29" s="6"/>
      <c r="M29" s="7"/>
      <c r="P29" s="9"/>
      <c r="Q29" t="str">
        <f t="shared" si="3"/>
        <v/>
      </c>
    </row>
    <row r="30" spans="1:17" ht="26.25">
      <c r="A30">
        <v>30999</v>
      </c>
      <c r="B30">
        <v>29</v>
      </c>
      <c r="C30" t="s">
        <v>140</v>
      </c>
      <c r="D30" t="s">
        <v>141</v>
      </c>
      <c r="E30">
        <v>0</v>
      </c>
      <c r="F30" s="4"/>
      <c r="G30">
        <f t="shared" si="4"/>
        <v>0</v>
      </c>
      <c r="H30">
        <v>0</v>
      </c>
      <c r="I30">
        <v>0</v>
      </c>
      <c r="J30">
        <v>0</v>
      </c>
      <c r="K30">
        <v>0</v>
      </c>
      <c r="L30" s="5"/>
      <c r="M30" s="8"/>
      <c r="P30" s="9"/>
      <c r="Q30" t="str">
        <f t="shared" si="3"/>
        <v/>
      </c>
    </row>
    <row r="31" spans="1:17" ht="26.25">
      <c r="C31" t="s">
        <v>142</v>
      </c>
      <c r="D31" t="s">
        <v>143</v>
      </c>
      <c r="E31">
        <v>15</v>
      </c>
      <c r="F31" s="4">
        <v>10</v>
      </c>
      <c r="G31">
        <f t="shared" si="4"/>
        <v>25</v>
      </c>
      <c r="H31">
        <v>34</v>
      </c>
      <c r="I31">
        <v>28</v>
      </c>
      <c r="J31">
        <v>44</v>
      </c>
      <c r="K31">
        <v>13</v>
      </c>
      <c r="L31" s="6">
        <v>9.8000000000000007</v>
      </c>
      <c r="M31" s="7"/>
      <c r="O31" s="9">
        <f t="shared" si="1"/>
        <v>153.80000000000001</v>
      </c>
      <c r="P31" s="9">
        <f t="shared" si="2"/>
        <v>25.633333333333336</v>
      </c>
      <c r="Q31" t="str">
        <f t="shared" si="3"/>
        <v/>
      </c>
    </row>
    <row r="32" spans="1:17" ht="26.25">
      <c r="A32">
        <v>31013</v>
      </c>
      <c r="B32">
        <v>31</v>
      </c>
      <c r="C32" t="s">
        <v>144</v>
      </c>
      <c r="D32" t="s">
        <v>145</v>
      </c>
      <c r="E32">
        <v>24</v>
      </c>
      <c r="F32" s="3"/>
      <c r="G32">
        <f>SUM(E31:F31)</f>
        <v>25</v>
      </c>
      <c r="H32">
        <v>34</v>
      </c>
      <c r="I32">
        <v>28</v>
      </c>
      <c r="J32">
        <v>31</v>
      </c>
      <c r="K32">
        <v>29</v>
      </c>
      <c r="L32" s="5">
        <v>8.4</v>
      </c>
      <c r="M32" s="8"/>
      <c r="O32" s="9">
        <f t="shared" si="1"/>
        <v>155.4</v>
      </c>
      <c r="P32" s="9">
        <f t="shared" si="2"/>
        <v>25.900000000000002</v>
      </c>
      <c r="Q32" t="str">
        <f t="shared" si="3"/>
        <v/>
      </c>
    </row>
    <row r="33" spans="1:17" ht="26.25">
      <c r="A33">
        <v>31014</v>
      </c>
      <c r="B33">
        <v>32</v>
      </c>
      <c r="C33" t="s">
        <v>146</v>
      </c>
      <c r="D33" t="s">
        <v>147</v>
      </c>
      <c r="E33">
        <v>33</v>
      </c>
      <c r="F33" s="4"/>
      <c r="G33">
        <f>SUM(E32:F32)</f>
        <v>24</v>
      </c>
      <c r="H33">
        <v>28</v>
      </c>
      <c r="I33">
        <v>28</v>
      </c>
      <c r="J33">
        <v>29</v>
      </c>
      <c r="K33">
        <v>32</v>
      </c>
      <c r="L33" s="6">
        <v>5.6</v>
      </c>
      <c r="M33" s="7"/>
      <c r="O33" s="9">
        <f t="shared" si="1"/>
        <v>146.6</v>
      </c>
      <c r="P33" s="9">
        <f t="shared" si="2"/>
        <v>24.433333333333334</v>
      </c>
      <c r="Q33" t="str">
        <f t="shared" si="3"/>
        <v/>
      </c>
    </row>
    <row r="34" spans="1:17" ht="26.25">
      <c r="A34">
        <v>31020</v>
      </c>
      <c r="B34">
        <v>33</v>
      </c>
      <c r="C34" t="s">
        <v>148</v>
      </c>
      <c r="D34" t="s">
        <v>149</v>
      </c>
      <c r="E34">
        <v>21</v>
      </c>
      <c r="F34" s="3">
        <v>5</v>
      </c>
      <c r="G34">
        <f>SUM(E33:F33)</f>
        <v>33</v>
      </c>
      <c r="H34">
        <v>24</v>
      </c>
      <c r="I34">
        <v>38</v>
      </c>
      <c r="J34">
        <v>50</v>
      </c>
      <c r="K34">
        <v>13</v>
      </c>
      <c r="L34" s="5">
        <v>14</v>
      </c>
      <c r="M34" s="8"/>
      <c r="O34" s="9">
        <f t="shared" si="1"/>
        <v>172</v>
      </c>
      <c r="P34" s="9">
        <f t="shared" si="2"/>
        <v>28.666666666666668</v>
      </c>
      <c r="Q34" t="str">
        <f t="shared" si="3"/>
        <v>สูงกว่าค่าเฉลี่ย</v>
      </c>
    </row>
    <row r="35" spans="1:17">
      <c r="P35" s="9"/>
    </row>
    <row r="36" spans="1:17">
      <c r="P36" s="9"/>
    </row>
    <row r="37" spans="1:17">
      <c r="P37" s="9"/>
    </row>
    <row r="38" spans="1:17">
      <c r="P38" s="9"/>
    </row>
    <row r="39" spans="1:17">
      <c r="P39" s="9"/>
    </row>
    <row r="40" spans="1:17">
      <c r="P4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2</vt:i4>
      </vt:variant>
    </vt:vector>
  </HeadingPairs>
  <TitlesOfParts>
    <vt:vector size="2" baseType="lpstr">
      <vt:lpstr>สายวิทย์</vt:lpstr>
      <vt:lpstr>สายศิลป์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SVOA</dc:creator>
  <cp:lastModifiedBy>attem01 attempts</cp:lastModifiedBy>
  <dcterms:created xsi:type="dcterms:W3CDTF">2026-05-29T05:32:49Z</dcterms:created>
  <dcterms:modified xsi:type="dcterms:W3CDTF">2026-08-11T07:22:04Z</dcterms:modified>
</cp:coreProperties>
</file>