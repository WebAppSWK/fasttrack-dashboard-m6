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B178B5BA-296A-4A94-B00E-EB6BC138D907}" xr6:coauthVersionLast="47" xr6:coauthVersionMax="47" xr10:uidLastSave="{00000000-0000-0000-0000-000000000000}"/>
  <bookViews>
    <workbookView xWindow="-108" yWindow="-108" windowWidth="23256" windowHeight="12456" tabRatio="696" xr2:uid="{00000000-000D-0000-FFFF-FFFF00000000}"/>
  </bookViews>
  <sheets>
    <sheet name="601" sheetId="16" r:id="rId1"/>
    <sheet name="602" sheetId="25" r:id="rId2"/>
    <sheet name="603" sheetId="26" r:id="rId3"/>
    <sheet name="604" sheetId="27" r:id="rId4"/>
    <sheet name="605" sheetId="28" r:id="rId5"/>
    <sheet name="606" sheetId="29" r:id="rId6"/>
    <sheet name="607" sheetId="30" r:id="rId7"/>
    <sheet name="608" sheetId="31" r:id="rId8"/>
    <sheet name="609" sheetId="32" r:id="rId9"/>
    <sheet name="610" sheetId="37" r:id="rId10"/>
    <sheet name="611-612-613" sheetId="3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1" i="37" l="1"/>
  <c r="B41" i="30"/>
  <c r="D36" i="16"/>
  <c r="D41" i="30"/>
  <c r="B36" i="16"/>
  <c r="B41" i="31"/>
  <c r="D41" i="26"/>
  <c r="E41" i="37"/>
  <c r="B41" i="33"/>
  <c r="F36" i="16" l="1"/>
  <c r="B41" i="26"/>
  <c r="F41" i="26" l="1"/>
  <c r="D41" i="33" l="1"/>
  <c r="D41" i="31" l="1"/>
  <c r="D40" i="32" l="1"/>
  <c r="F41" i="33" l="1"/>
  <c r="B40" i="32"/>
  <c r="G41" i="37"/>
  <c r="F40" i="32" l="1"/>
  <c r="F41" i="31"/>
  <c r="B41" i="29" l="1" a="1"/>
  <c r="D41" i="29" a="1"/>
  <c r="D53" i="28" a="1"/>
  <c r="B53" i="28" a="1"/>
  <c r="B40" i="27" a="1"/>
  <c r="D40" i="27" a="1"/>
  <c r="D41" i="25" a="1"/>
  <c r="B41" i="25" a="1"/>
  <c r="F40" i="27" l="1"/>
  <c r="F41" i="30"/>
  <c r="F53" i="28" l="1"/>
  <c r="F41" i="25"/>
  <c r="F41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<sst xmlns="http://schemas.openxmlformats.org/spreadsheetml/2006/main" count="1486" uniqueCount="1003">
  <si>
    <t>ที่</t>
  </si>
  <si>
    <t>เลข</t>
  </si>
  <si>
    <t>เลขประ</t>
  </si>
  <si>
    <t>ชื่อตัว - นามสกุล</t>
  </si>
  <si>
    <t>จำตัว</t>
  </si>
  <si>
    <t>ชั้นมัธยมศึกษาปีที่</t>
  </si>
  <si>
    <t>ครูที่ปรึกษา</t>
  </si>
  <si>
    <t>อภิชญา</t>
  </si>
  <si>
    <t>อิ่นแก้ว</t>
  </si>
  <si>
    <t>กันทะวงค์</t>
  </si>
  <si>
    <t>ศรีวิชัย</t>
  </si>
  <si>
    <t>คำปัน</t>
  </si>
  <si>
    <t>สุพิชญา</t>
  </si>
  <si>
    <t>มนัสนันท์</t>
  </si>
  <si>
    <t>ญาณิศา</t>
  </si>
  <si>
    <t>ธนโชติ</t>
  </si>
  <si>
    <t>รัฐศาสตร์</t>
  </si>
  <si>
    <t>ณัฎฐณิชา</t>
  </si>
  <si>
    <t>เรือนคำ</t>
  </si>
  <si>
    <t>วรัญญา</t>
  </si>
  <si>
    <t>ชาย</t>
  </si>
  <si>
    <t>หญิง</t>
  </si>
  <si>
    <t>รวม</t>
  </si>
  <si>
    <t>นาย</t>
  </si>
  <si>
    <t>นางสาว</t>
  </si>
  <si>
    <t>นันท์นภัส</t>
  </si>
  <si>
    <t>ธัญชนก</t>
  </si>
  <si>
    <t>ณัฐพร</t>
  </si>
  <si>
    <t>คำอ้าย</t>
  </si>
  <si>
    <t>ธิดารัตน์</t>
  </si>
  <si>
    <t>พีรพัฒน์</t>
  </si>
  <si>
    <t>พิชญา</t>
  </si>
  <si>
    <t xml:space="preserve">       ชั้นมัธยมศึกษาปีที่</t>
  </si>
  <si>
    <t>รัฐภูมิ</t>
  </si>
  <si>
    <t>ณภัทร</t>
  </si>
  <si>
    <t>กชกร</t>
  </si>
  <si>
    <t>อาทิตยา</t>
  </si>
  <si>
    <t>ปิยธิดา</t>
  </si>
  <si>
    <t>ชญานนท์</t>
  </si>
  <si>
    <t>วรรณลังกา</t>
  </si>
  <si>
    <t>สุจา</t>
  </si>
  <si>
    <t>จิตติพัฒน์</t>
  </si>
  <si>
    <t>กิ่วแก้ว</t>
  </si>
  <si>
    <t>กัญญาวีร์</t>
  </si>
  <si>
    <t>ธิสาร</t>
  </si>
  <si>
    <t>ณัฐพล</t>
  </si>
  <si>
    <t>ธีรนัย</t>
  </si>
  <si>
    <t>ปพิชญา</t>
  </si>
  <si>
    <t>ภูริ</t>
  </si>
  <si>
    <t>คำแดง</t>
  </si>
  <si>
    <t>ณัฐภูมิ</t>
  </si>
  <si>
    <t>ชุติพนธ์</t>
  </si>
  <si>
    <t>ณัฐวรรธน์</t>
  </si>
  <si>
    <t>แสนปัน</t>
  </si>
  <si>
    <t>เรือนชุ่มเชย</t>
  </si>
  <si>
    <t>เขียวเจริญ</t>
  </si>
  <si>
    <t>อชิระ</t>
  </si>
  <si>
    <t>ปัญญา</t>
  </si>
  <si>
    <t>ชนิดา</t>
  </si>
  <si>
    <t>แปงกันทา</t>
  </si>
  <si>
    <t>ชรุตพงศ์</t>
  </si>
  <si>
    <t>ทาเรือน</t>
  </si>
  <si>
    <t>สิงห์พรม</t>
  </si>
  <si>
    <t>ณัฐชานันท์</t>
  </si>
  <si>
    <t>เวงสูงเนิน</t>
  </si>
  <si>
    <t>ณัฐนพิน</t>
  </si>
  <si>
    <t>บุญลือ</t>
  </si>
  <si>
    <t>อินปั๋นแก้ว</t>
  </si>
  <si>
    <t>ณิรดา</t>
  </si>
  <si>
    <t>ตลาด</t>
  </si>
  <si>
    <t>ธชรัฐ</t>
  </si>
  <si>
    <t>ธนสิทธิ์</t>
  </si>
  <si>
    <t>ประเสริฐสังข์</t>
  </si>
  <si>
    <t>ธารินันท์</t>
  </si>
  <si>
    <t>วงศ์ใหญ่</t>
  </si>
  <si>
    <t>สถิตสกุลวงศ์</t>
  </si>
  <si>
    <t>บัญญวัต</t>
  </si>
  <si>
    <t>ธัญใจ</t>
  </si>
  <si>
    <t>เบญญพร</t>
  </si>
  <si>
    <t>เรือนวิน</t>
  </si>
  <si>
    <t>ปริยาภัทร</t>
  </si>
  <si>
    <t>อินต๊ะปา</t>
  </si>
  <si>
    <t>ปวิชญา</t>
  </si>
  <si>
    <t>แดงปุ่น</t>
  </si>
  <si>
    <t>เลิศเรือนแก้ว</t>
  </si>
  <si>
    <t>พนัชกร</t>
  </si>
  <si>
    <t>กันทา</t>
  </si>
  <si>
    <t>พรหมเทพ</t>
  </si>
  <si>
    <t>ภูมิภัทร</t>
  </si>
  <si>
    <t>เลื่อมใจหาญ</t>
  </si>
  <si>
    <t>ภูวนาท</t>
  </si>
  <si>
    <t>ปัถวี</t>
  </si>
  <si>
    <t>ชัยสถิตย์ราชัน</t>
  </si>
  <si>
    <t>วัทธิกร</t>
  </si>
  <si>
    <t>คำหน้อย</t>
  </si>
  <si>
    <t>ศิวัช</t>
  </si>
  <si>
    <t>ขันอุไร</t>
  </si>
  <si>
    <t>สุพิชชา</t>
  </si>
  <si>
    <t>จันทศาสตร์</t>
  </si>
  <si>
    <t>สุภัสสรา</t>
  </si>
  <si>
    <t>หมื่นมูล</t>
  </si>
  <si>
    <t>ต่อนใจ</t>
  </si>
  <si>
    <t>ณัฐวศา</t>
  </si>
  <si>
    <t>มาใจ</t>
  </si>
  <si>
    <t>ณิชารีย์</t>
  </si>
  <si>
    <t>ภักตรา</t>
  </si>
  <si>
    <t>จิราภา</t>
  </si>
  <si>
    <t>ปัญโญ</t>
  </si>
  <si>
    <t>กิตติพัฒน์</t>
  </si>
  <si>
    <t>ช่างไม้</t>
  </si>
  <si>
    <t>ชัชพิมุก</t>
  </si>
  <si>
    <t>โพธิ์ทอง</t>
  </si>
  <si>
    <t>ถามูล</t>
  </si>
  <si>
    <t>ทาสัน</t>
  </si>
  <si>
    <t>นัทธพงศ์</t>
  </si>
  <si>
    <t>ประสม</t>
  </si>
  <si>
    <t>ปรมัตถ์</t>
  </si>
  <si>
    <t>กันทะอุโมง</t>
  </si>
  <si>
    <t>ชีวีนิธิสกุล</t>
  </si>
  <si>
    <t>ศุวิล</t>
  </si>
  <si>
    <t>หลุยจำลอง</t>
  </si>
  <si>
    <t>ทนงศักดิ์</t>
  </si>
  <si>
    <t>อางี</t>
  </si>
  <si>
    <t>สารวาท</t>
  </si>
  <si>
    <t>กัลยา</t>
  </si>
  <si>
    <t>ปัญญานนท์</t>
  </si>
  <si>
    <t>เกสรา</t>
  </si>
  <si>
    <t>เขียวตั้ง</t>
  </si>
  <si>
    <t>คำกู่</t>
  </si>
  <si>
    <t>ลุงโอ</t>
  </si>
  <si>
    <t>ญาณิดา</t>
  </si>
  <si>
    <t>บุญมาตา</t>
  </si>
  <si>
    <t>ทาเรเรือน</t>
  </si>
  <si>
    <t>ธัญญาลักษณ์</t>
  </si>
  <si>
    <t>ศักดิ์เกษม</t>
  </si>
  <si>
    <t>ปันรส</t>
  </si>
  <si>
    <t>นภสร</t>
  </si>
  <si>
    <t>เป็งเขียว</t>
  </si>
  <si>
    <t>นิพพิชญา</t>
  </si>
  <si>
    <t>มหาไม้</t>
  </si>
  <si>
    <t>อัครภิรมย์</t>
  </si>
  <si>
    <t>ปุณยนุช</t>
  </si>
  <si>
    <t>พิมพ์ชนก</t>
  </si>
  <si>
    <t>ใจนวล</t>
  </si>
  <si>
    <t>ภัทรินทร์</t>
  </si>
  <si>
    <t>ตาทา</t>
  </si>
  <si>
    <t>มัณฑณา</t>
  </si>
  <si>
    <t>ปัญญาปะระ</t>
  </si>
  <si>
    <t>วิภาดา</t>
  </si>
  <si>
    <t>โก</t>
  </si>
  <si>
    <t>สุทัตตา</t>
  </si>
  <si>
    <t>โยกุลัย</t>
  </si>
  <si>
    <t>สุพรรษา</t>
  </si>
  <si>
    <t>บุญอินทร์</t>
  </si>
  <si>
    <t>สุพิชฌาย์</t>
  </si>
  <si>
    <t>ปันสา</t>
  </si>
  <si>
    <t>อมินา</t>
  </si>
  <si>
    <t>เกษมสุขคงคา</t>
  </si>
  <si>
    <t>กัญญาภัทร</t>
  </si>
  <si>
    <t>ธัญการุณย์</t>
  </si>
  <si>
    <t>วาสนา</t>
  </si>
  <si>
    <t>สุนิติปัญญาวงศ์</t>
  </si>
  <si>
    <t>ธัญพิชชา</t>
  </si>
  <si>
    <t>จ่าปัน</t>
  </si>
  <si>
    <t>ธนวัฒน์</t>
  </si>
  <si>
    <t>รัตนวรรณ์</t>
  </si>
  <si>
    <t>สุญาณิศา</t>
  </si>
  <si>
    <t>พวงสุวรรณ์</t>
  </si>
  <si>
    <t>วรวลัญช์</t>
  </si>
  <si>
    <t>จันต๊ะพรม</t>
  </si>
  <si>
    <t>พิทำ</t>
  </si>
  <si>
    <t>เพียงพิม</t>
  </si>
  <si>
    <t>ลุงยะ</t>
  </si>
  <si>
    <t>ตาวงค์</t>
  </si>
  <si>
    <t>เกียรติภูมิ</t>
  </si>
  <si>
    <t>นามปวน</t>
  </si>
  <si>
    <t>โห้คลัง</t>
  </si>
  <si>
    <t>ณัฐชุตา</t>
  </si>
  <si>
    <t>บุรินทร์เสถียร</t>
  </si>
  <si>
    <t>ชยาธรณ์</t>
  </si>
  <si>
    <t>คำเพียว</t>
  </si>
  <si>
    <t>ธมลวรรณ</t>
  </si>
  <si>
    <t>ชุมภู</t>
  </si>
  <si>
    <t>ธีรพัทร์</t>
  </si>
  <si>
    <t>ตาปัน</t>
  </si>
  <si>
    <t>นุพงค์</t>
  </si>
  <si>
    <t>กันทาดี</t>
  </si>
  <si>
    <t>พัทธวรรณ</t>
  </si>
  <si>
    <t>พวงมาลา</t>
  </si>
  <si>
    <t>พิมพ์วิภา</t>
  </si>
  <si>
    <t>ขันคำ</t>
  </si>
  <si>
    <t>พิมพิกา</t>
  </si>
  <si>
    <t>ภัควลัญช์</t>
  </si>
  <si>
    <t>อินทวรรณ</t>
  </si>
  <si>
    <t>สุชานันท์</t>
  </si>
  <si>
    <t>อินทุอร</t>
  </si>
  <si>
    <t>พุทธสุข</t>
  </si>
  <si>
    <t>ขวัญชัย</t>
  </si>
  <si>
    <t>คณาวงศา</t>
  </si>
  <si>
    <t>สุภกร</t>
  </si>
  <si>
    <t>แสนเสนา</t>
  </si>
  <si>
    <t>หมื่นยอง</t>
  </si>
  <si>
    <t>จารุวรรณ</t>
  </si>
  <si>
    <t>สืบศักดิ์วงศ์</t>
  </si>
  <si>
    <t>ลุงสาม</t>
  </si>
  <si>
    <t>วิดำ</t>
  </si>
  <si>
    <t>ณัฐริกา</t>
  </si>
  <si>
    <t>ดวงเดช</t>
  </si>
  <si>
    <t>พัฒนพล</t>
  </si>
  <si>
    <t>นาระตะ</t>
  </si>
  <si>
    <t>รัชพล</t>
  </si>
  <si>
    <t>ปันตุ้ย</t>
  </si>
  <si>
    <t>วีร์รัชชัย</t>
  </si>
  <si>
    <t>จันทร์ธิมา</t>
  </si>
  <si>
    <t>รณกร</t>
  </si>
  <si>
    <t>บัวหอม</t>
  </si>
  <si>
    <t>ศิวัชญา</t>
  </si>
  <si>
    <t>สุมานนท์</t>
  </si>
  <si>
    <t>ปริยากร</t>
  </si>
  <si>
    <t>ชัยกาวิล</t>
  </si>
  <si>
    <t>กานต์สิรี</t>
  </si>
  <si>
    <t>แก้วดับภัย</t>
  </si>
  <si>
    <t>อาณัฐ</t>
  </si>
  <si>
    <t>สารินจา</t>
  </si>
  <si>
    <t>นุนพนัสสัก</t>
  </si>
  <si>
    <t>ศรีจันทร์แดง</t>
  </si>
  <si>
    <t>มะโนริ</t>
  </si>
  <si>
    <t>ชนกนันท์</t>
  </si>
  <si>
    <t>ตั๋นดี</t>
  </si>
  <si>
    <t>กมลชนก</t>
  </si>
  <si>
    <t>มูลออน</t>
  </si>
  <si>
    <t>ปัญญาจิตต์</t>
  </si>
  <si>
    <t>แซ่ย่าง</t>
  </si>
  <si>
    <t>พร้อมพร</t>
  </si>
  <si>
    <t>สุรินทร์แก้ว</t>
  </si>
  <si>
    <t>อชิรญา</t>
  </si>
  <si>
    <t>อโรชา</t>
  </si>
  <si>
    <t>ปันเป็ง</t>
  </si>
  <si>
    <t>โคตรนาม</t>
  </si>
  <si>
    <t>นรินธิดา</t>
  </si>
  <si>
    <t>สว่างบุญมี</t>
  </si>
  <si>
    <t>ปานวาด</t>
  </si>
  <si>
    <t>เลาสือ</t>
  </si>
  <si>
    <t>ปู่สุข</t>
  </si>
  <si>
    <t>นพวิชญ์</t>
  </si>
  <si>
    <t>อุทธา</t>
  </si>
  <si>
    <t>จินะคำปา</t>
  </si>
  <si>
    <t>เครือแก้ว</t>
  </si>
  <si>
    <t>กานต์สินี</t>
  </si>
  <si>
    <t>อุปนันชัย</t>
  </si>
  <si>
    <t>นิศามน</t>
  </si>
  <si>
    <t>จีโน</t>
  </si>
  <si>
    <t>จรัสวดี</t>
  </si>
  <si>
    <t>บัวตูม</t>
  </si>
  <si>
    <t>ฐิติพร</t>
  </si>
  <si>
    <t>แซ่ตั้ง</t>
  </si>
  <si>
    <t>ณัฏฐธิดา</t>
  </si>
  <si>
    <t>ตาจาย</t>
  </si>
  <si>
    <t>ธนภรณ์</t>
  </si>
  <si>
    <t>วรรณเพชร</t>
  </si>
  <si>
    <t>ธัญญลักษณ์</t>
  </si>
  <si>
    <t>ศิริปัญญาวงษ์</t>
  </si>
  <si>
    <t>พรนภัส</t>
  </si>
  <si>
    <t>จุ่มใจ</t>
  </si>
  <si>
    <t>พัทธ์ธีรา</t>
  </si>
  <si>
    <t>พรหมเย็น</t>
  </si>
  <si>
    <t>ภควรรณ</t>
  </si>
  <si>
    <t>สุรินทร์</t>
  </si>
  <si>
    <t>วรกานต์</t>
  </si>
  <si>
    <t>วิชิตร</t>
  </si>
  <si>
    <t>อินเหลือ</t>
  </si>
  <si>
    <t>อัญญาวิทย์</t>
  </si>
  <si>
    <t>เกษกรรณ์</t>
  </si>
  <si>
    <t>อินใจ</t>
  </si>
  <si>
    <t>อ้ายพล</t>
  </si>
  <si>
    <t>วราวงศ์วณิชย์</t>
  </si>
  <si>
    <t>คำวงค์ษา</t>
  </si>
  <si>
    <t>สารศรี</t>
  </si>
  <si>
    <t>เกียรติศักดิ์</t>
  </si>
  <si>
    <t>ธนันชัย</t>
  </si>
  <si>
    <t>รุ่งนภา</t>
  </si>
  <si>
    <t>เจอโชคชัย</t>
  </si>
  <si>
    <t>กิติกานดา</t>
  </si>
  <si>
    <t>กันคำ</t>
  </si>
  <si>
    <t>วรวัฒน์</t>
  </si>
  <si>
    <t>อิทธิพัทธ์</t>
  </si>
  <si>
    <t>ภัทรพล</t>
  </si>
  <si>
    <t>เมืองวงศ์</t>
  </si>
  <si>
    <t>บุญเสาร์</t>
  </si>
  <si>
    <t>ธีรศักดิ์</t>
  </si>
  <si>
    <t>ศุภกานต์</t>
  </si>
  <si>
    <t>วงค์ตัน</t>
  </si>
  <si>
    <t>แก้วอ้าย</t>
  </si>
  <si>
    <t>ปันสม</t>
  </si>
  <si>
    <t>รุ่งตรานนท์</t>
  </si>
  <si>
    <t>ภูมิพัฒน์</t>
  </si>
  <si>
    <t>คำแสน</t>
  </si>
  <si>
    <t>เทพวงศ์</t>
  </si>
  <si>
    <t>วีระยุทธ</t>
  </si>
  <si>
    <t>สายเขียว</t>
  </si>
  <si>
    <t>เขียวสา</t>
  </si>
  <si>
    <t>กัญษลักษณ์</t>
  </si>
  <si>
    <t>กรวิชญ์</t>
  </si>
  <si>
    <t>อุ่นใจ</t>
  </si>
  <si>
    <t>จิตติมนัส</t>
  </si>
  <si>
    <t>จับใจนาย</t>
  </si>
  <si>
    <t>หทัยชนก</t>
  </si>
  <si>
    <t>สุมทอง</t>
  </si>
  <si>
    <t>กุลปริยา</t>
  </si>
  <si>
    <t>โปธิ</t>
  </si>
  <si>
    <t>นรี</t>
  </si>
  <si>
    <t>-</t>
  </si>
  <si>
    <t>บุญญาพร</t>
  </si>
  <si>
    <t>ปภาวี</t>
  </si>
  <si>
    <t>หลอโตน</t>
  </si>
  <si>
    <t>นันทิกานต์</t>
  </si>
  <si>
    <t>ปู่ล้อยคำ</t>
  </si>
  <si>
    <t>ปิ่น</t>
  </si>
  <si>
    <t>ลุงต๊ะ</t>
  </si>
  <si>
    <t>เตจะสา</t>
  </si>
  <si>
    <t>พิศาลสาสน์</t>
  </si>
  <si>
    <t>สุขเตจ๊ะ</t>
  </si>
  <si>
    <t>สิทธิโชค</t>
  </si>
  <si>
    <t>คมิก</t>
  </si>
  <si>
    <t>จิรพัฒน์</t>
  </si>
  <si>
    <t>น้อยเซ็น</t>
  </si>
  <si>
    <t>ธีรวิชญ์</t>
  </si>
  <si>
    <t>ปัญญาคำ</t>
  </si>
  <si>
    <t>ภัคควินท์</t>
  </si>
  <si>
    <t>รัฐธรรมนูญ</t>
  </si>
  <si>
    <t>ไชยรัตน์</t>
  </si>
  <si>
    <t>ศุภมงคล</t>
  </si>
  <si>
    <t>แก้วแสง</t>
  </si>
  <si>
    <t>ธนบดินทร์</t>
  </si>
  <si>
    <t>จิรรัตน์สกุล</t>
  </si>
  <si>
    <t>พิษณุ</t>
  </si>
  <si>
    <t>หน่อตุ้ย</t>
  </si>
  <si>
    <t>วันวิษา</t>
  </si>
  <si>
    <t>คำแปง</t>
  </si>
  <si>
    <t>ภัทรวดี</t>
  </si>
  <si>
    <t>ปะอินทร์</t>
  </si>
  <si>
    <t>ณัฐวดี</t>
  </si>
  <si>
    <t>โนนสระคู</t>
  </si>
  <si>
    <t>ธนาภา</t>
  </si>
  <si>
    <t>บุญทาวงค์</t>
  </si>
  <si>
    <t>พรหมสุวรรณ์</t>
  </si>
  <si>
    <t>รตินันท์</t>
  </si>
  <si>
    <t>ไตรยงค์</t>
  </si>
  <si>
    <t>สุจิรา</t>
  </si>
  <si>
    <t>ภาเรือง</t>
  </si>
  <si>
    <t>นิราวรรณ</t>
  </si>
  <si>
    <t>ต๊ะปิงยศ</t>
  </si>
  <si>
    <t>วรฤทัย</t>
  </si>
  <si>
    <t>ปริมิตร</t>
  </si>
  <si>
    <t>ชรินรัตน์</t>
  </si>
  <si>
    <t>คำวงษา</t>
  </si>
  <si>
    <t>สุชัญญา</t>
  </si>
  <si>
    <t>อนุวงค์</t>
  </si>
  <si>
    <t>หมื่นสม</t>
  </si>
  <si>
    <t>สมุดความ</t>
  </si>
  <si>
    <t>ศิริประภา</t>
  </si>
  <si>
    <t>สร้อยฟ้า</t>
  </si>
  <si>
    <t>ตันจ้อย</t>
  </si>
  <si>
    <t>สุริยา</t>
  </si>
  <si>
    <t>ต๊ะสุ</t>
  </si>
  <si>
    <t>ธัญญรัตน์</t>
  </si>
  <si>
    <t>ศรีพจนมงคล</t>
  </si>
  <si>
    <t>ลือชา</t>
  </si>
  <si>
    <t>ประอุต</t>
  </si>
  <si>
    <t>สีสมปวน</t>
  </si>
  <si>
    <t>กล้าหาญ</t>
  </si>
  <si>
    <t>บุตตมา</t>
  </si>
  <si>
    <t>ตุลาชัย</t>
  </si>
  <si>
    <t>อุ่นใจมา</t>
  </si>
  <si>
    <t>ตาจิละ</t>
  </si>
  <si>
    <t>กลวัชร</t>
  </si>
  <si>
    <t>จิตตาดู</t>
  </si>
  <si>
    <t>ภัทรภูมิ</t>
  </si>
  <si>
    <t>บิ๊ก</t>
  </si>
  <si>
    <t>ใจมา</t>
  </si>
  <si>
    <t>ทินภัทร</t>
  </si>
  <si>
    <t>เอี่ยมพันธ์</t>
  </si>
  <si>
    <t>ชยพล</t>
  </si>
  <si>
    <t>จันทร์บุญ</t>
  </si>
  <si>
    <t>จันทร์ตา</t>
  </si>
  <si>
    <t>ศิวกร</t>
  </si>
  <si>
    <t>ศรีคำหน้อย</t>
  </si>
  <si>
    <t>วัชระพงศ์</t>
  </si>
  <si>
    <t>สายงาม</t>
  </si>
  <si>
    <t>สิริชัย</t>
  </si>
  <si>
    <t>แซ่หลี่</t>
  </si>
  <si>
    <t>ยมใจ</t>
  </si>
  <si>
    <t>สุทธิกานต์</t>
  </si>
  <si>
    <t>ศรีคำสุข</t>
  </si>
  <si>
    <t>กมลวรรณ</t>
  </si>
  <si>
    <t>จิรประภา</t>
  </si>
  <si>
    <t>กาวารี</t>
  </si>
  <si>
    <t>ฉฬภิญญา</t>
  </si>
  <si>
    <t>บุญมาลา</t>
  </si>
  <si>
    <t>อุตนา</t>
  </si>
  <si>
    <t>ชไมพร</t>
  </si>
  <si>
    <t>สมกันธา</t>
  </si>
  <si>
    <t>คุณาใจ</t>
  </si>
  <si>
    <t>ปาริชาติ</t>
  </si>
  <si>
    <t>บุญทรัพย์</t>
  </si>
  <si>
    <t>เกศรินทร์</t>
  </si>
  <si>
    <t>จิตรักษา</t>
  </si>
  <si>
    <t>มนัญชยา</t>
  </si>
  <si>
    <t>โคราช</t>
  </si>
  <si>
    <t>ชยังกูร</t>
  </si>
  <si>
    <t>ทาคำ</t>
  </si>
  <si>
    <t>นัฐพงษ์</t>
  </si>
  <si>
    <t>ศิริธร</t>
  </si>
  <si>
    <t>ธนภัทร</t>
  </si>
  <si>
    <t>จักรอินต๊ะ</t>
  </si>
  <si>
    <t>แดงบุตร</t>
  </si>
  <si>
    <t>สุขสงวน</t>
  </si>
  <si>
    <t>จักรินทร์</t>
  </si>
  <si>
    <t>เงินพะช่อ</t>
  </si>
  <si>
    <t>วงค์ปัญญา</t>
  </si>
  <si>
    <t>ขวัญจิรา</t>
  </si>
  <si>
    <t>บุญกูล</t>
  </si>
  <si>
    <t>ชุติกาญจน์</t>
  </si>
  <si>
    <t>ประสพศิลป์</t>
  </si>
  <si>
    <t>กันตินันท์</t>
  </si>
  <si>
    <t>มนต์ทิตา</t>
  </si>
  <si>
    <t>สุริยะโต้</t>
  </si>
  <si>
    <t>พิมพ์ลภัส</t>
  </si>
  <si>
    <t>ปัญญาแก้ว</t>
  </si>
  <si>
    <t>นภัสสร</t>
  </si>
  <si>
    <t>มูลต๊ะเลิศ</t>
  </si>
  <si>
    <t>พิชญธิดา</t>
  </si>
  <si>
    <t>สิริรัณญาย์</t>
  </si>
  <si>
    <t>ศิริโชติทวี</t>
  </si>
  <si>
    <t>สุยะ</t>
  </si>
  <si>
    <t>สาส่วนกว้าง</t>
  </si>
  <si>
    <t>รชยา</t>
  </si>
  <si>
    <t>บุญคุ้ม</t>
  </si>
  <si>
    <t>จิตราภรณ์</t>
  </si>
  <si>
    <t>ใจจี๋</t>
  </si>
  <si>
    <t>ฟ้าใส</t>
  </si>
  <si>
    <t>ไชยวรรณ์</t>
  </si>
  <si>
    <t>กมลพรรณ</t>
  </si>
  <si>
    <t>มูลแสน</t>
  </si>
  <si>
    <t>ลักษิณา</t>
  </si>
  <si>
    <t>คำภิระ</t>
  </si>
  <si>
    <t>รินลดา</t>
  </si>
  <si>
    <t>มีวอน</t>
  </si>
  <si>
    <t>บุญปก</t>
  </si>
  <si>
    <t>อรปภา</t>
  </si>
  <si>
    <t>มานะศักดิ์</t>
  </si>
  <si>
    <t>ปวรินทร์</t>
  </si>
  <si>
    <t>ปินตาศรี</t>
  </si>
  <si>
    <t>ณัฏฐกรณ์</t>
  </si>
  <si>
    <t>ยศชัยศรี</t>
  </si>
  <si>
    <t>ทักษกร</t>
  </si>
  <si>
    <t>เต็งกวน</t>
  </si>
  <si>
    <t>ณัฐวัศ</t>
  </si>
  <si>
    <t>เรือนรักเรา</t>
  </si>
  <si>
    <t>ก้องภพ</t>
  </si>
  <si>
    <t>เขื่อนแก้ว</t>
  </si>
  <si>
    <t>สาทิส</t>
  </si>
  <si>
    <t>วิลาศ</t>
  </si>
  <si>
    <t>นวภูมิ</t>
  </si>
  <si>
    <t>คำเพียร</t>
  </si>
  <si>
    <t>ธนัชญา</t>
  </si>
  <si>
    <t>แก้วเมืองไชย</t>
  </si>
  <si>
    <t>ก๋องแก้ว</t>
  </si>
  <si>
    <t>นภกุล</t>
  </si>
  <si>
    <t>แก้วหน่อคำ</t>
  </si>
  <si>
    <t>ณิชา</t>
  </si>
  <si>
    <t>เปรมภิวงค์</t>
  </si>
  <si>
    <t>กันต์กวี</t>
  </si>
  <si>
    <t>ปันเรือน</t>
  </si>
  <si>
    <t>เลนา</t>
  </si>
  <si>
    <t>กฤตพร</t>
  </si>
  <si>
    <t>เต๋จา</t>
  </si>
  <si>
    <t>ชรินทร์ทิพย์</t>
  </si>
  <si>
    <t>ก้อนคำออน</t>
  </si>
  <si>
    <t>ณัฐณิชา</t>
  </si>
  <si>
    <t>รินเย็น</t>
  </si>
  <si>
    <t>ชอขอด</t>
  </si>
  <si>
    <t>วรรณวิมล</t>
  </si>
  <si>
    <t>ตาบุญหู</t>
  </si>
  <si>
    <t>ขวัญพร</t>
  </si>
  <si>
    <t>กาญจนาพร</t>
  </si>
  <si>
    <t>ปู่ป๋า</t>
  </si>
  <si>
    <t>วงค์พุทธคำ</t>
  </si>
  <si>
    <t>นิกษ์นิภา</t>
  </si>
  <si>
    <t>คอมพิวเตอร์ธุรกิจ</t>
  </si>
  <si>
    <t>ศิลป์ภาษาอังกฤษ</t>
  </si>
  <si>
    <t>อุ่นอารมณ์</t>
  </si>
  <si>
    <t>ต้นกล้า</t>
  </si>
  <si>
    <t>พิมขนิษฐ</t>
  </si>
  <si>
    <t>ทาปุ๊ด</t>
  </si>
  <si>
    <t>ปัญจมณีโชติ</t>
  </si>
  <si>
    <t>อรรคเดช</t>
  </si>
  <si>
    <t>ตุ้ยหล้า</t>
  </si>
  <si>
    <t>ธฤตวัน</t>
  </si>
  <si>
    <t>คำสี</t>
  </si>
  <si>
    <t>ชนะพล</t>
  </si>
  <si>
    <t>แก้วกาบคำ</t>
  </si>
  <si>
    <t>ธีรภัทร</t>
  </si>
  <si>
    <t>แฮหล้า</t>
  </si>
  <si>
    <t>นฤภัทร</t>
  </si>
  <si>
    <t>ปวนลุน</t>
  </si>
  <si>
    <t>เปรมประพัฒน์</t>
  </si>
  <si>
    <t>สิธิ</t>
  </si>
  <si>
    <t>พงศธร</t>
  </si>
  <si>
    <t>ธรรมทิง</t>
  </si>
  <si>
    <t>เดชาวัต</t>
  </si>
  <si>
    <t>ธิวงค์คำ</t>
  </si>
  <si>
    <t>ธีระวิทย์</t>
  </si>
  <si>
    <t>ภาคิน</t>
  </si>
  <si>
    <t>ปิงคำ</t>
  </si>
  <si>
    <t>ชวนากร</t>
  </si>
  <si>
    <t>สกุลรัตน์</t>
  </si>
  <si>
    <t>โป่งรักษ์</t>
  </si>
  <si>
    <t>มะลิ</t>
  </si>
  <si>
    <t>รฐนนท์</t>
  </si>
  <si>
    <t>ชื่อคำ</t>
  </si>
  <si>
    <t>อุเทน</t>
  </si>
  <si>
    <t>อินต๊ะวงค์</t>
  </si>
  <si>
    <t>อนุชิต</t>
  </si>
  <si>
    <t>หวานแหลม</t>
  </si>
  <si>
    <t>ธีทัต</t>
  </si>
  <si>
    <t>จิรศักดิ์</t>
  </si>
  <si>
    <t>มารุมาศ</t>
  </si>
  <si>
    <t>อินหน่อแก้ว</t>
  </si>
  <si>
    <t>รักษิต</t>
  </si>
  <si>
    <t>บุญตัน</t>
  </si>
  <si>
    <t>จิรภิญญา</t>
  </si>
  <si>
    <t>รัตนา</t>
  </si>
  <si>
    <t>ญาณิกา</t>
  </si>
  <si>
    <t>เลาซ้ง</t>
  </si>
  <si>
    <t>นิรดา</t>
  </si>
  <si>
    <t>หน่อเมืองคำ</t>
  </si>
  <si>
    <t>อินทรส</t>
  </si>
  <si>
    <t>รมิดา</t>
  </si>
  <si>
    <t>สิทธิชาติ</t>
  </si>
  <si>
    <t>เรือนหน้อย</t>
  </si>
  <si>
    <t>กณิศา</t>
  </si>
  <si>
    <t>ณ ลำปาง</t>
  </si>
  <si>
    <t>29157</t>
  </si>
  <si>
    <t>29265</t>
  </si>
  <si>
    <t>29268</t>
  </si>
  <si>
    <t>29269</t>
  </si>
  <si>
    <t>29270</t>
  </si>
  <si>
    <t>29305</t>
  </si>
  <si>
    <t>29380</t>
  </si>
  <si>
    <t>29388</t>
  </si>
  <si>
    <t>29461</t>
  </si>
  <si>
    <t>29201</t>
  </si>
  <si>
    <t>29205</t>
  </si>
  <si>
    <t>29210</t>
  </si>
  <si>
    <t>29214</t>
  </si>
  <si>
    <t>ปุณณภา</t>
  </si>
  <si>
    <t>29219</t>
  </si>
  <si>
    <t>29277</t>
  </si>
  <si>
    <t>29278</t>
  </si>
  <si>
    <t>29280</t>
  </si>
  <si>
    <t>29287</t>
  </si>
  <si>
    <t>29288</t>
  </si>
  <si>
    <t>29291</t>
  </si>
  <si>
    <t>29301</t>
  </si>
  <si>
    <t>29321</t>
  </si>
  <si>
    <t>29327</t>
  </si>
  <si>
    <t>29463</t>
  </si>
  <si>
    <t>29470</t>
  </si>
  <si>
    <t>29471</t>
  </si>
  <si>
    <t>29477</t>
  </si>
  <si>
    <t>29478</t>
  </si>
  <si>
    <t>29492</t>
  </si>
  <si>
    <t>29495</t>
  </si>
  <si>
    <t>29263</t>
  </si>
  <si>
    <t>29264</t>
  </si>
  <si>
    <t>29267</t>
  </si>
  <si>
    <t>29272</t>
  </si>
  <si>
    <t>29308</t>
  </si>
  <si>
    <t>ปุณยวัจน์</t>
  </si>
  <si>
    <t>29354</t>
  </si>
  <si>
    <t>29454</t>
  </si>
  <si>
    <t>29455</t>
  </si>
  <si>
    <t>ณัฏฐ์</t>
  </si>
  <si>
    <t>30956</t>
  </si>
  <si>
    <t>29138</t>
  </si>
  <si>
    <t>29141</t>
  </si>
  <si>
    <t>29143</t>
  </si>
  <si>
    <t>29194</t>
  </si>
  <si>
    <t>29216</t>
  </si>
  <si>
    <t>29256</t>
  </si>
  <si>
    <t>29274</t>
  </si>
  <si>
    <t>29275</t>
  </si>
  <si>
    <t>29282</t>
  </si>
  <si>
    <t>29283</t>
  </si>
  <si>
    <t>29284</t>
  </si>
  <si>
    <t>29294</t>
  </si>
  <si>
    <t>29299</t>
  </si>
  <si>
    <t>29400</t>
  </si>
  <si>
    <t>29441</t>
  </si>
  <si>
    <t>29465</t>
  </si>
  <si>
    <t>29479</t>
  </si>
  <si>
    <t>29485</t>
  </si>
  <si>
    <t>29491</t>
  </si>
  <si>
    <t>30957</t>
  </si>
  <si>
    <t>30958</t>
  </si>
  <si>
    <t>30959</t>
  </si>
  <si>
    <t>30960</t>
  </si>
  <si>
    <t>29152</t>
  </si>
  <si>
    <t>29156</t>
  </si>
  <si>
    <t>29158</t>
  </si>
  <si>
    <t>29228</t>
  </si>
  <si>
    <t>29458</t>
  </si>
  <si>
    <t>ปฐมพง</t>
  </si>
  <si>
    <t>30961</t>
  </si>
  <si>
    <t>30962</t>
  </si>
  <si>
    <t>29134</t>
  </si>
  <si>
    <t>ทรงพร</t>
  </si>
  <si>
    <t>29142</t>
  </si>
  <si>
    <t>29196</t>
  </si>
  <si>
    <t>29213</t>
  </si>
  <si>
    <t>29218</t>
  </si>
  <si>
    <t>29292</t>
  </si>
  <si>
    <t>29331</t>
  </si>
  <si>
    <t>29334</t>
  </si>
  <si>
    <t>29405</t>
  </si>
  <si>
    <t>29412</t>
  </si>
  <si>
    <t>ศุภณัฏฐ์</t>
  </si>
  <si>
    <t>29466</t>
  </si>
  <si>
    <t>29468</t>
  </si>
  <si>
    <t>29474</t>
  </si>
  <si>
    <t>29482</t>
  </si>
  <si>
    <t>29489</t>
  </si>
  <si>
    <t>30061</t>
  </si>
  <si>
    <t>30964</t>
  </si>
  <si>
    <t>กิติยา</t>
  </si>
  <si>
    <t>30965</t>
  </si>
  <si>
    <t>30966</t>
  </si>
  <si>
    <t>30968</t>
  </si>
  <si>
    <t>30970</t>
  </si>
  <si>
    <t>สิริวรรณ</t>
  </si>
  <si>
    <t>29160</t>
  </si>
  <si>
    <t>29162</t>
  </si>
  <si>
    <t>29309</t>
  </si>
  <si>
    <t>29314</t>
  </si>
  <si>
    <t>29430</t>
  </si>
  <si>
    <t>ปรเมศวร์</t>
  </si>
  <si>
    <t>29462</t>
  </si>
  <si>
    <t>30971</t>
  </si>
  <si>
    <t>ธนาวิชญ์</t>
  </si>
  <si>
    <t>30972</t>
  </si>
  <si>
    <t>30973</t>
  </si>
  <si>
    <t>29129</t>
  </si>
  <si>
    <t>29133</t>
  </si>
  <si>
    <t>ดิสชญากรณ์</t>
  </si>
  <si>
    <t>29137</t>
  </si>
  <si>
    <t>29166</t>
  </si>
  <si>
    <t>สายสุวรรณ์</t>
  </si>
  <si>
    <t>29177</t>
  </si>
  <si>
    <t>นิจจารีย์</t>
  </si>
  <si>
    <t>29180</t>
  </si>
  <si>
    <t>29195</t>
  </si>
  <si>
    <t>29200</t>
  </si>
  <si>
    <t>29215</t>
  </si>
  <si>
    <t>29317</t>
  </si>
  <si>
    <t>29375</t>
  </si>
  <si>
    <t>29415</t>
  </si>
  <si>
    <t>สุภาวดี</t>
  </si>
  <si>
    <t>29416</t>
  </si>
  <si>
    <t>29476</t>
  </si>
  <si>
    <t>30976</t>
  </si>
  <si>
    <t>30978</t>
  </si>
  <si>
    <t>อภิสรา</t>
  </si>
  <si>
    <t>29147</t>
  </si>
  <si>
    <t>29384</t>
  </si>
  <si>
    <t>29460</t>
  </si>
  <si>
    <t>30979</t>
  </si>
  <si>
    <t>30980</t>
  </si>
  <si>
    <t>30981</t>
  </si>
  <si>
    <t>แก้วเหล็ก</t>
  </si>
  <si>
    <t>30982</t>
  </si>
  <si>
    <t>30983</t>
  </si>
  <si>
    <t>ตันทะตา</t>
  </si>
  <si>
    <t>29168</t>
  </si>
  <si>
    <t>29170</t>
  </si>
  <si>
    <t>29186</t>
  </si>
  <si>
    <t>29202</t>
  </si>
  <si>
    <t>29289</t>
  </si>
  <si>
    <t>29326</t>
  </si>
  <si>
    <t>29330</t>
  </si>
  <si>
    <t>29336</t>
  </si>
  <si>
    <t>ศศิกานต์</t>
  </si>
  <si>
    <t>29340</t>
  </si>
  <si>
    <t>29392</t>
  </si>
  <si>
    <t>29398</t>
  </si>
  <si>
    <t>29481</t>
  </si>
  <si>
    <t>พิชญาภา</t>
  </si>
  <si>
    <t>พรหมมาเย็น</t>
  </si>
  <si>
    <t>29484</t>
  </si>
  <si>
    <t>29486</t>
  </si>
  <si>
    <t>29487</t>
  </si>
  <si>
    <t>29506</t>
  </si>
  <si>
    <t>29701</t>
  </si>
  <si>
    <t>30984</t>
  </si>
  <si>
    <t>30985</t>
  </si>
  <si>
    <t>ชนาภา</t>
  </si>
  <si>
    <t>30986</t>
  </si>
  <si>
    <t>พิยดา</t>
  </si>
  <si>
    <t>30987</t>
  </si>
  <si>
    <t>30989</t>
  </si>
  <si>
    <t>ศรัญพร</t>
  </si>
  <si>
    <t>29150</t>
  </si>
  <si>
    <t>29153</t>
  </si>
  <si>
    <t>ตรัยคุณ</t>
  </si>
  <si>
    <t>29155</t>
  </si>
  <si>
    <t>ธนกฤต</t>
  </si>
  <si>
    <t>29233</t>
  </si>
  <si>
    <t>29348</t>
  </si>
  <si>
    <t>29358</t>
  </si>
  <si>
    <t>29434</t>
  </si>
  <si>
    <t>รัชชานนท์</t>
  </si>
  <si>
    <t>29436</t>
  </si>
  <si>
    <t>กันธะคำ</t>
  </si>
  <si>
    <t>29499</t>
  </si>
  <si>
    <t>30990</t>
  </si>
  <si>
    <t>30991</t>
  </si>
  <si>
    <t>30992</t>
  </si>
  <si>
    <t>สง่าวุฒิเลิศ</t>
  </si>
  <si>
    <t>30993</t>
  </si>
  <si>
    <t>30994</t>
  </si>
  <si>
    <t>30995</t>
  </si>
  <si>
    <t>30996</t>
  </si>
  <si>
    <t>อภิวิชญ์</t>
  </si>
  <si>
    <t>29144</t>
  </si>
  <si>
    <t>29146</t>
  </si>
  <si>
    <t>29199</t>
  </si>
  <si>
    <t>29207</t>
  </si>
  <si>
    <t>29211</t>
  </si>
  <si>
    <t>29328</t>
  </si>
  <si>
    <t>29329</t>
  </si>
  <si>
    <t>29374</t>
  </si>
  <si>
    <t>วรางคณา</t>
  </si>
  <si>
    <t>30998</t>
  </si>
  <si>
    <t>ณัฎฐวรรณ</t>
  </si>
  <si>
    <t>30999</t>
  </si>
  <si>
    <t>31000</t>
  </si>
  <si>
    <t>29235</t>
  </si>
  <si>
    <t>29239</t>
  </si>
  <si>
    <t>ปวัน</t>
  </si>
  <si>
    <t>แก้วมา</t>
  </si>
  <si>
    <t>29241</t>
  </si>
  <si>
    <t>29246</t>
  </si>
  <si>
    <t>29262</t>
  </si>
  <si>
    <t>29310</t>
  </si>
  <si>
    <t>29343</t>
  </si>
  <si>
    <t>29357</t>
  </si>
  <si>
    <t>29383</t>
  </si>
  <si>
    <t>29389</t>
  </si>
  <si>
    <t>31002</t>
  </si>
  <si>
    <t>31003</t>
  </si>
  <si>
    <t>ณัฐกิตต์</t>
  </si>
  <si>
    <t>31004</t>
  </si>
  <si>
    <t>29172</t>
  </si>
  <si>
    <t>29175</t>
  </si>
  <si>
    <t>ธวาภรณ์</t>
  </si>
  <si>
    <t>29185</t>
  </si>
  <si>
    <t>29251</t>
  </si>
  <si>
    <t>29254</t>
  </si>
  <si>
    <t>ธันยวีร์</t>
  </si>
  <si>
    <t>29258</t>
  </si>
  <si>
    <t>29281</t>
  </si>
  <si>
    <t>29286</t>
  </si>
  <si>
    <t>29335</t>
  </si>
  <si>
    <t>29373</t>
  </si>
  <si>
    <t>29406</t>
  </si>
  <si>
    <t>29417</t>
  </si>
  <si>
    <t>อุษณีย์</t>
  </si>
  <si>
    <t>30066</t>
  </si>
  <si>
    <t>31005</t>
  </si>
  <si>
    <t>31006</t>
  </si>
  <si>
    <t>31007</t>
  </si>
  <si>
    <t>พิชชากร</t>
  </si>
  <si>
    <t>31008</t>
  </si>
  <si>
    <t>31009</t>
  </si>
  <si>
    <t>ใจยาแก้ว</t>
  </si>
  <si>
    <t>31010</t>
  </si>
  <si>
    <t>29190</t>
  </si>
  <si>
    <t>นครินทร์</t>
  </si>
  <si>
    <t>29236</t>
  </si>
  <si>
    <t>แทนคุณ</t>
  </si>
  <si>
    <t>29247</t>
  </si>
  <si>
    <t>29303</t>
  </si>
  <si>
    <t>29311</t>
  </si>
  <si>
    <t>29350</t>
  </si>
  <si>
    <t>29353</t>
  </si>
  <si>
    <t>29456</t>
  </si>
  <si>
    <t>31011</t>
  </si>
  <si>
    <t>31012</t>
  </si>
  <si>
    <t>ณัฐวัตร</t>
  </si>
  <si>
    <t>31013</t>
  </si>
  <si>
    <t>31014</t>
  </si>
  <si>
    <t>31015</t>
  </si>
  <si>
    <t>พศิน</t>
  </si>
  <si>
    <t>แสงคำ</t>
  </si>
  <si>
    <t>31016</t>
  </si>
  <si>
    <t>31017</t>
  </si>
  <si>
    <t>พีระพัฒน์</t>
  </si>
  <si>
    <t>อ้ายหนัก</t>
  </si>
  <si>
    <t>31018</t>
  </si>
  <si>
    <t>31019</t>
  </si>
  <si>
    <t>31020</t>
  </si>
  <si>
    <t>31021</t>
  </si>
  <si>
    <t>31064</t>
  </si>
  <si>
    <t>สายวัน</t>
  </si>
  <si>
    <t>29316</t>
  </si>
  <si>
    <t>29318</t>
  </si>
  <si>
    <t>29319</t>
  </si>
  <si>
    <t>29339</t>
  </si>
  <si>
    <t>29397</t>
  </si>
  <si>
    <t>ณิชนันท์</t>
  </si>
  <si>
    <t>29442</t>
  </si>
  <si>
    <t>29452</t>
  </si>
  <si>
    <t>31022</t>
  </si>
  <si>
    <t>31023</t>
  </si>
  <si>
    <t>31024</t>
  </si>
  <si>
    <t>29238</t>
  </si>
  <si>
    <t>29253</t>
  </si>
  <si>
    <t>29345</t>
  </si>
  <si>
    <t>30064</t>
  </si>
  <si>
    <t>31025</t>
  </si>
  <si>
    <t>31026</t>
  </si>
  <si>
    <t>31027</t>
  </si>
  <si>
    <t>พิทวัส</t>
  </si>
  <si>
    <t>31065</t>
  </si>
  <si>
    <t>ภัทรัญชน์</t>
  </si>
  <si>
    <t>เครือแส</t>
  </si>
  <si>
    <t>29139</t>
  </si>
  <si>
    <t>29183</t>
  </si>
  <si>
    <t>29217</t>
  </si>
  <si>
    <t>29250</t>
  </si>
  <si>
    <t>29332</t>
  </si>
  <si>
    <t>29338</t>
  </si>
  <si>
    <t>29365</t>
  </si>
  <si>
    <t>29386</t>
  </si>
  <si>
    <t>พนิตพิชา</t>
  </si>
  <si>
    <t>29391</t>
  </si>
  <si>
    <t>29395</t>
  </si>
  <si>
    <t>29399</t>
  </si>
  <si>
    <t>29408</t>
  </si>
  <si>
    <t>29440</t>
  </si>
  <si>
    <t>29444</t>
  </si>
  <si>
    <t>ดลพร</t>
  </si>
  <si>
    <t>29448</t>
  </si>
  <si>
    <t>31030</t>
  </si>
  <si>
    <t>นรีรัตน์</t>
  </si>
  <si>
    <t>31033</t>
  </si>
  <si>
    <t>31034</t>
  </si>
  <si>
    <t>29119</t>
  </si>
  <si>
    <t>29120</t>
  </si>
  <si>
    <t>29154</t>
  </si>
  <si>
    <t>ธนกร</t>
  </si>
  <si>
    <t>29229</t>
  </si>
  <si>
    <t>29230</t>
  </si>
  <si>
    <t>29234</t>
  </si>
  <si>
    <t>29237</t>
  </si>
  <si>
    <t>29240</t>
  </si>
  <si>
    <t>29307</t>
  </si>
  <si>
    <t>29424</t>
  </si>
  <si>
    <t>ณัฐพัชร์</t>
  </si>
  <si>
    <t>29439</t>
  </si>
  <si>
    <t>31035</t>
  </si>
  <si>
    <t>จาตุรงค์</t>
  </si>
  <si>
    <t>31036</t>
  </si>
  <si>
    <t>31037</t>
  </si>
  <si>
    <t>31038</t>
  </si>
  <si>
    <t>31039</t>
  </si>
  <si>
    <t>31040</t>
  </si>
  <si>
    <t>31041</t>
  </si>
  <si>
    <t>31042</t>
  </si>
  <si>
    <t>31043</t>
  </si>
  <si>
    <t>31044</t>
  </si>
  <si>
    <t>31045</t>
  </si>
  <si>
    <t>31046</t>
  </si>
  <si>
    <t>อาม</t>
  </si>
  <si>
    <t>31047</t>
  </si>
  <si>
    <t>29169</t>
  </si>
  <si>
    <t>29220</t>
  </si>
  <si>
    <t>29260</t>
  </si>
  <si>
    <t>29276</t>
  </si>
  <si>
    <t>29293</t>
  </si>
  <si>
    <t>29413</t>
  </si>
  <si>
    <t>ภัสรียา</t>
  </si>
  <si>
    <t>31048</t>
  </si>
  <si>
    <t>29304</t>
  </si>
  <si>
    <t>29347</t>
  </si>
  <si>
    <t>29349</t>
  </si>
  <si>
    <t>29351</t>
  </si>
  <si>
    <t>29385</t>
  </si>
  <si>
    <t>31049</t>
  </si>
  <si>
    <t>31050</t>
  </si>
  <si>
    <t>29135</t>
  </si>
  <si>
    <t>29209</t>
  </si>
  <si>
    <t>29475</t>
  </si>
  <si>
    <t>31051</t>
  </si>
  <si>
    <t>31052</t>
  </si>
  <si>
    <t>ภานุชณาร์</t>
  </si>
  <si>
    <t>31053</t>
  </si>
  <si>
    <t>29418</t>
  </si>
  <si>
    <t>29167</t>
  </si>
  <si>
    <t>29322</t>
  </si>
  <si>
    <t>29333</t>
  </si>
  <si>
    <t>29368</t>
  </si>
  <si>
    <t>29370</t>
  </si>
  <si>
    <t>นราวัลย์</t>
  </si>
  <si>
    <t>29469</t>
  </si>
  <si>
    <t>31054</t>
  </si>
  <si>
    <t>31055</t>
  </si>
  <si>
    <t>นางสาวศิริวิมล  ใบตัน</t>
  </si>
  <si>
    <t>ห้องเรียนพิเศษวิทยาศาสตร์ - คณิตศาสตร์</t>
  </si>
  <si>
    <t>วิทยศาสตร์ - คณิตศาสตร์</t>
  </si>
  <si>
    <t>ภาษาอังกฤษ - คณิตศาสตร์</t>
  </si>
  <si>
    <t>ภาษาอังกฤษ - สังคมศึกษา</t>
  </si>
  <si>
    <t>ภาษาอังกฤษ - ภาษาจีน</t>
  </si>
  <si>
    <t>ภาษาอังกฤษ-ภาษาญี่ปุ่น</t>
  </si>
  <si>
    <t>ภาษาอังกฤษ - ภาษาเกาหลี</t>
  </si>
  <si>
    <t>ภาษาอังกฤษ - ภาษาฝรั่งเศส</t>
  </si>
  <si>
    <t>นางสาวนิธิ์วดี  เจดีย์ถา</t>
  </si>
  <si>
    <t>นายสราวุธ  ทานวล</t>
  </si>
  <si>
    <t>นายพรนิมิตร  ชิตมินทร์</t>
  </si>
  <si>
    <t>นางสาวดวงนภา  จิโน</t>
  </si>
  <si>
    <t>นายนคร  ทองแหง</t>
  </si>
  <si>
    <t>นายนรกานต์  นรเศรษฐกานต์</t>
  </si>
  <si>
    <t>นางสาวณฐกฤษกา  มงคล</t>
  </si>
  <si>
    <t>นางจิราภรณ์  อินทะวงศ์</t>
  </si>
  <si>
    <t>นางสาวอรสิริพิมพ์  บริหารธนโชติ</t>
  </si>
  <si>
    <t>นายกฤศวัฒน์  อนันตนริศกูล</t>
  </si>
  <si>
    <t xml:space="preserve">นายทวิชา ตาวินโน </t>
  </si>
  <si>
    <t>นางเพ็ญพรรณ  มาลอม</t>
  </si>
  <si>
    <t>นางปฏิพัตร  พจนาพันธ์</t>
  </si>
  <si>
    <t>นายภูมิพัฒน์  กีรติชำนาญวัฒน์</t>
  </si>
  <si>
    <t>นางสาวสุพรรณธิชา  เภาศรี</t>
  </si>
  <si>
    <t>29208</t>
  </si>
  <si>
    <t>ธัญญ์รวี</t>
  </si>
  <si>
    <t>รัตนวสิษฐ์กุล</t>
  </si>
  <si>
    <t>29151</t>
  </si>
  <si>
    <t>ชนินทร์</t>
  </si>
  <si>
    <t>ปัญญาน้อย</t>
  </si>
  <si>
    <t>29364</t>
  </si>
  <si>
    <t>อินทนนท์</t>
  </si>
  <si>
    <t>นาไล</t>
  </si>
  <si>
    <t>29438</t>
  </si>
  <si>
    <t>องอาจ</t>
  </si>
  <si>
    <t>แก้วจันทร์</t>
  </si>
  <si>
    <t>31077</t>
  </si>
  <si>
    <t>ปภังกรณ์</t>
  </si>
  <si>
    <t>จันทร์เอ้ย</t>
  </si>
  <si>
    <t>31080</t>
  </si>
  <si>
    <t>ปณิธาน</t>
  </si>
  <si>
    <t>สุวรรณรักษ์</t>
  </si>
  <si>
    <t>31058</t>
  </si>
  <si>
    <t>วรกร</t>
  </si>
  <si>
    <t>29255</t>
  </si>
  <si>
    <t>29140</t>
  </si>
  <si>
    <t>ภวิษย์พร</t>
  </si>
  <si>
    <t>เด่นดวงเดือน</t>
  </si>
  <si>
    <t>31084</t>
  </si>
  <si>
    <t>พีรพล</t>
  </si>
  <si>
    <t>บุญยรัตน์</t>
  </si>
  <si>
    <t>31560</t>
  </si>
  <si>
    <t>ดาราวีย์</t>
  </si>
  <si>
    <t>อมรใฝ่ชื่อตรง</t>
  </si>
  <si>
    <t>31564</t>
  </si>
  <si>
    <t>พสธร</t>
  </si>
  <si>
    <t>ต้อยตระกูล</t>
  </si>
  <si>
    <t>31509</t>
  </si>
  <si>
    <t>อัญชลีพร</t>
  </si>
  <si>
    <t>31600</t>
  </si>
  <si>
    <t>อาโมส โอเลนโด</t>
  </si>
  <si>
    <t>โตมาส์</t>
  </si>
  <si>
    <t>นางวารี  กู้เมือง</t>
  </si>
  <si>
    <t>นางพชรพรรณ  คงครบ</t>
  </si>
  <si>
    <t>นายอาณัตพงษ์  แก้วทา</t>
  </si>
  <si>
    <t>28955</t>
  </si>
  <si>
    <t>กนกกาญจน์</t>
  </si>
  <si>
    <t>ตันหน้อย</t>
  </si>
  <si>
    <t>31602</t>
  </si>
  <si>
    <t>ศุภกร</t>
  </si>
  <si>
    <t>ถุงเงิน</t>
  </si>
  <si>
    <t>30967</t>
  </si>
  <si>
    <t>ณัฐธิดา</t>
  </si>
  <si>
    <t>ประกอบกิจ</t>
  </si>
  <si>
    <t>31611</t>
  </si>
  <si>
    <t>วีระศักดิ์</t>
  </si>
  <si>
    <t>ประโยม</t>
  </si>
  <si>
    <t>31612</t>
  </si>
  <si>
    <t>สพัทธ์พงค์</t>
  </si>
  <si>
    <t>ทรายคำ</t>
  </si>
  <si>
    <t>31610</t>
  </si>
  <si>
    <t>วรภัทร</t>
  </si>
  <si>
    <t>จันทร์ทอง</t>
  </si>
  <si>
    <t>มะโนธรรม</t>
  </si>
  <si>
    <t>รายชื่อนักเรียนโรงเรียนสันป่าตองวิทยาคม ปีการศึกษา 2569</t>
  </si>
  <si>
    <t>นายวุฒิชัย  ใจสุ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</si>
</sst>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4" x14ac:knownFonts="1"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charset val="222"/>
      <scheme val="minor"/>
    </font>
    <font>
      <b/>
      <sz val="18"/>
      <color theme="3"/>
      <name val="Tahoma"/>
      <family val="2"/>
      <charset val="222"/>
      <scheme val="major"/>
    </font>
    <font>
      <b/>
      <sz val="15"/>
      <color theme="3"/>
      <name val="Tahoma"/>
      <family val="2"/>
      <charset val="222"/>
      <scheme val="minor"/>
    </font>
    <font>
      <b/>
      <sz val="13"/>
      <color theme="3"/>
      <name val="Tahoma"/>
      <family val="2"/>
      <charset val="222"/>
      <scheme val="minor"/>
    </font>
    <font>
      <b/>
      <sz val="11"/>
      <color theme="3"/>
      <name val="Tahoma"/>
      <family val="2"/>
      <charset val="222"/>
      <scheme val="minor"/>
    </font>
    <font>
      <sz val="11"/>
      <color rgb="FF006100"/>
      <name val="Tahoma"/>
      <family val="2"/>
      <charset val="222"/>
      <scheme val="minor"/>
    </font>
    <font>
      <sz val="11"/>
      <color rgb="FF9C0006"/>
      <name val="Tahoma"/>
      <family val="2"/>
      <charset val="222"/>
      <scheme val="minor"/>
    </font>
    <font>
      <sz val="11"/>
      <color rgb="FF9C6500"/>
      <name val="Tahoma"/>
      <family val="2"/>
      <charset val="222"/>
      <scheme val="minor"/>
    </font>
    <font>
      <sz val="11"/>
      <color rgb="FF3F3F76"/>
      <name val="Tahoma"/>
      <family val="2"/>
      <charset val="222"/>
      <scheme val="minor"/>
    </font>
    <font>
      <b/>
      <sz val="11"/>
      <color rgb="FF3F3F3F"/>
      <name val="Tahoma"/>
      <family val="2"/>
      <charset val="222"/>
      <scheme val="minor"/>
    </font>
    <font>
      <b/>
      <sz val="11"/>
      <color rgb="FFFA7D00"/>
      <name val="Tahoma"/>
      <family val="2"/>
      <charset val="222"/>
      <scheme val="minor"/>
    </font>
    <font>
      <sz val="11"/>
      <color rgb="FFFA7D00"/>
      <name val="Tahoma"/>
      <family val="2"/>
      <charset val="222"/>
      <scheme val="minor"/>
    </font>
    <font>
      <b/>
      <sz val="11"/>
      <color theme="0"/>
      <name val="Tahoma"/>
      <family val="2"/>
      <charset val="222"/>
      <scheme val="minor"/>
    </font>
    <font>
      <sz val="11"/>
      <color rgb="FFFF0000"/>
      <name val="Tahoma"/>
      <family val="2"/>
      <charset val="222"/>
      <scheme val="minor"/>
    </font>
    <font>
      <i/>
      <sz val="11"/>
      <color rgb="FF7F7F7F"/>
      <name val="Tahoma"/>
      <family val="2"/>
      <charset val="222"/>
      <scheme val="minor"/>
    </font>
    <font>
      <b/>
      <sz val="11"/>
      <color theme="1"/>
      <name val="Tahoma"/>
      <family val="2"/>
      <charset val="222"/>
      <scheme val="minor"/>
    </font>
    <font>
      <sz val="11"/>
      <color theme="0"/>
      <name val="Tahoma"/>
      <family val="2"/>
      <charset val="222"/>
      <scheme val="minor"/>
    </font>
    <font>
      <sz val="11"/>
      <color theme="1"/>
      <name val="Tahoma"/>
      <family val="2"/>
      <scheme val="minor"/>
    </font>
    <font>
      <sz val="11"/>
      <color theme="0"/>
      <name val="Tahoma"/>
      <family val="2"/>
      <scheme val="minor"/>
    </font>
    <font>
      <b/>
      <sz val="11"/>
      <color theme="0"/>
      <name val="Tahoma"/>
      <family val="2"/>
      <scheme val="minor"/>
    </font>
    <font>
      <sz val="11"/>
      <color rgb="FFFA7D00"/>
      <name val="Tahoma"/>
      <family val="2"/>
      <scheme val="minor"/>
    </font>
    <font>
      <sz val="11"/>
      <color rgb="FF9C0006"/>
      <name val="Tahoma"/>
      <family val="2"/>
      <scheme val="minor"/>
    </font>
    <font>
      <b/>
      <sz val="11"/>
      <color rgb="FF3F3F3F"/>
      <name val="Tahoma"/>
      <family val="2"/>
      <scheme val="minor"/>
    </font>
    <font>
      <b/>
      <sz val="11"/>
      <color rgb="FFFA7D00"/>
      <name val="Tahoma"/>
      <family val="2"/>
      <scheme val="minor"/>
    </font>
    <font>
      <sz val="11"/>
      <color rgb="FFFF0000"/>
      <name val="Tahoma"/>
      <family val="2"/>
      <scheme val="minor"/>
    </font>
    <font>
      <i/>
      <sz val="11"/>
      <color rgb="FF7F7F7F"/>
      <name val="Tahoma"/>
      <family val="2"/>
      <scheme val="minor"/>
    </font>
    <font>
      <b/>
      <sz val="18"/>
      <color theme="3"/>
      <name val="Tahoma"/>
      <family val="2"/>
      <scheme val="major"/>
    </font>
    <font>
      <sz val="11"/>
      <color rgb="FF006100"/>
      <name val="Tahoma"/>
      <family val="2"/>
      <scheme val="minor"/>
    </font>
    <font>
      <sz val="11"/>
      <color rgb="FF3F3F76"/>
      <name val="Tahoma"/>
      <family val="2"/>
      <scheme val="minor"/>
    </font>
    <font>
      <sz val="11"/>
      <color rgb="FF9C6500"/>
      <name val="Tahoma"/>
      <family val="2"/>
      <scheme val="minor"/>
    </font>
    <font>
      <b/>
      <sz val="11"/>
      <color theme="1"/>
      <name val="Tahoma"/>
      <family val="2"/>
      <scheme val="minor"/>
    </font>
    <font>
      <b/>
      <sz val="15"/>
      <color theme="3"/>
      <name val="Tahoma"/>
      <family val="2"/>
      <scheme val="minor"/>
    </font>
    <font>
      <b/>
      <sz val="13"/>
      <color theme="3"/>
      <name val="Tahoma"/>
      <family val="2"/>
      <scheme val="minor"/>
    </font>
    <font>
      <b/>
      <sz val="11"/>
      <color theme="3"/>
      <name val="Tahoma"/>
      <family val="2"/>
      <scheme val="minor"/>
    </font>
    <font>
      <sz val="14"/>
      <name val="Cordia New"/>
      <family val="2"/>
    </font>
    <font>
      <sz val="10"/>
      <name val="Arial"/>
      <family val="2"/>
    </font>
    <font>
      <sz val="14"/>
      <name val="TH SarabunPSK"/>
      <family val="2"/>
    </font>
    <font>
      <b/>
      <sz val="14"/>
      <name val="TH SarabunPSK"/>
      <family val="2"/>
    </font>
    <font>
      <sz val="14"/>
      <color theme="1"/>
      <name val="TH SarabunPSK"/>
      <family val="2"/>
    </font>
    <font>
      <sz val="14"/>
      <color theme="1"/>
      <name val="Tahoma"/>
      <family val="2"/>
      <charset val="222"/>
      <scheme val="minor"/>
    </font>
    <font>
      <b/>
      <sz val="14"/>
      <color theme="1"/>
      <name val="Tahoma"/>
      <family val="2"/>
      <charset val="222"/>
      <scheme val="minor"/>
    </font>
    <font>
      <sz val="16"/>
      <color theme="1"/>
      <name val="TH SarabunPSK"/>
      <family val="2"/>
    </font>
    <font>
      <b/>
      <sz val="16"/>
      <color theme="1"/>
      <name val="TH SarabunPSK"/>
      <family val="2"/>
    </font>
    <font>
      <sz val="16"/>
      <name val="TH SarabunPSK"/>
      <family val="2"/>
    </font>
    <font>
      <sz val="16"/>
      <color rgb="FF0D0D0D"/>
      <name val="TH SarabunPSK"/>
      <family val="2"/>
    </font>
    <font>
      <sz val="11"/>
      <color theme="1"/>
      <name val="Tahoma"/>
      <family val="2"/>
    </font>
    <font>
      <b/>
      <sz val="11"/>
      <color theme="1"/>
      <name val="Tahoma"/>
      <family val="2"/>
    </font>
    <font>
      <b/>
      <sz val="11"/>
      <name val="Tahoma"/>
      <family val="2"/>
    </font>
    <font>
      <sz val="11"/>
      <name val="Tahoma"/>
      <family val="2"/>
    </font>
    <font>
      <sz val="14"/>
      <color theme="1"/>
      <name val="Tahoma"/>
      <family val="2"/>
      <scheme val="minor"/>
    </font>
    <font>
      <b/>
      <sz val="11"/>
      <name val="Tahoma"/>
      <family val="2"/>
      <scheme val="minor"/>
    </font>
    <font>
      <sz val="11"/>
      <name val="Tahoma"/>
      <family val="2"/>
      <scheme val="minor"/>
    </font>
    <font>
      <sz val="11"/>
      <color rgb="FF000000"/>
      <name val="Tahoma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6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8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8" fillId="10" borderId="0" applyNumberFormat="0" applyBorder="0" applyAlignment="0" applyProtection="0"/>
    <xf numFmtId="0" fontId="18" fillId="14" borderId="0" applyNumberFormat="0" applyBorder="0" applyAlignment="0" applyProtection="0"/>
    <xf numFmtId="0" fontId="18" fillId="18" borderId="0" applyNumberFormat="0" applyBorder="0" applyAlignment="0" applyProtection="0"/>
    <xf numFmtId="0" fontId="18" fillId="22" borderId="0" applyNumberFormat="0" applyBorder="0" applyAlignment="0" applyProtection="0"/>
    <xf numFmtId="0" fontId="18" fillId="26" borderId="0" applyNumberFormat="0" applyBorder="0" applyAlignment="0" applyProtection="0"/>
    <xf numFmtId="0" fontId="18" fillId="30" borderId="0" applyNumberFormat="0" applyBorder="0" applyAlignment="0" applyProtection="0"/>
    <xf numFmtId="0" fontId="18" fillId="11" borderId="0" applyNumberFormat="0" applyBorder="0" applyAlignment="0" applyProtection="0"/>
    <xf numFmtId="0" fontId="18" fillId="15" borderId="0" applyNumberFormat="0" applyBorder="0" applyAlignment="0" applyProtection="0"/>
    <xf numFmtId="0" fontId="18" fillId="19" borderId="0" applyNumberFormat="0" applyBorder="0" applyAlignment="0" applyProtection="0"/>
    <xf numFmtId="0" fontId="18" fillId="23" borderId="0" applyNumberFormat="0" applyBorder="0" applyAlignment="0" applyProtection="0"/>
    <xf numFmtId="0" fontId="18" fillId="27" borderId="0" applyNumberFormat="0" applyBorder="0" applyAlignment="0" applyProtection="0"/>
    <xf numFmtId="0" fontId="18" fillId="31" borderId="0" applyNumberFormat="0" applyBorder="0" applyAlignment="0" applyProtection="0"/>
    <xf numFmtId="0" fontId="19" fillId="12" borderId="0" applyNumberFormat="0" applyBorder="0" applyAlignment="0" applyProtection="0"/>
    <xf numFmtId="0" fontId="19" fillId="16" borderId="0" applyNumberFormat="0" applyBorder="0" applyAlignment="0" applyProtection="0"/>
    <xf numFmtId="0" fontId="19" fillId="20" borderId="0" applyNumberFormat="0" applyBorder="0" applyAlignment="0" applyProtection="0"/>
    <xf numFmtId="0" fontId="19" fillId="24" borderId="0" applyNumberFormat="0" applyBorder="0" applyAlignment="0" applyProtection="0"/>
    <xf numFmtId="0" fontId="19" fillId="28" borderId="0" applyNumberFormat="0" applyBorder="0" applyAlignment="0" applyProtection="0"/>
    <xf numFmtId="0" fontId="19" fillId="32" borderId="0" applyNumberFormat="0" applyBorder="0" applyAlignment="0" applyProtection="0"/>
    <xf numFmtId="0" fontId="20" fillId="7" borderId="7" applyNumberFormat="0" applyAlignment="0" applyProtection="0"/>
    <xf numFmtId="0" fontId="21" fillId="0" borderId="6" applyNumberFormat="0" applyFill="0" applyAlignment="0" applyProtection="0"/>
    <xf numFmtId="0" fontId="22" fillId="3" borderId="0" applyNumberFormat="0" applyBorder="0" applyAlignment="0" applyProtection="0"/>
    <xf numFmtId="0" fontId="23" fillId="6" borderId="5" applyNumberFormat="0" applyAlignment="0" applyProtection="0"/>
    <xf numFmtId="0" fontId="24" fillId="6" borderId="4" applyNumberFormat="0" applyAlignment="0" applyProtection="0"/>
    <xf numFmtId="0" fontId="25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8" fillId="2" borderId="0" applyNumberFormat="0" applyBorder="0" applyAlignment="0" applyProtection="0"/>
    <xf numFmtId="0" fontId="29" fillId="5" borderId="4" applyNumberFormat="0" applyAlignment="0" applyProtection="0"/>
    <xf numFmtId="0" fontId="30" fillId="4" borderId="0" applyNumberFormat="0" applyBorder="0" applyAlignment="0" applyProtection="0"/>
    <xf numFmtId="0" fontId="31" fillId="0" borderId="9" applyNumberFormat="0" applyFill="0" applyAlignment="0" applyProtection="0"/>
    <xf numFmtId="0" fontId="19" fillId="9" borderId="0" applyNumberFormat="0" applyBorder="0" applyAlignment="0" applyProtection="0"/>
    <xf numFmtId="0" fontId="19" fillId="13" borderId="0" applyNumberFormat="0" applyBorder="0" applyAlignment="0" applyProtection="0"/>
    <xf numFmtId="0" fontId="19" fillId="17" borderId="0" applyNumberFormat="0" applyBorder="0" applyAlignment="0" applyProtection="0"/>
    <xf numFmtId="0" fontId="19" fillId="21" borderId="0" applyNumberFormat="0" applyBorder="0" applyAlignment="0" applyProtection="0"/>
    <xf numFmtId="0" fontId="19" fillId="25" borderId="0" applyNumberFormat="0" applyBorder="0" applyAlignment="0" applyProtection="0"/>
    <xf numFmtId="0" fontId="19" fillId="29" borderId="0" applyNumberFormat="0" applyBorder="0" applyAlignment="0" applyProtection="0"/>
    <xf numFmtId="0" fontId="18" fillId="8" borderId="8" applyNumberFormat="0" applyFont="0" applyAlignment="0" applyProtection="0"/>
    <xf numFmtId="0" fontId="32" fillId="0" borderId="1" applyNumberFormat="0" applyFill="0" applyAlignment="0" applyProtection="0"/>
    <xf numFmtId="0" fontId="33" fillId="0" borderId="2" applyNumberFormat="0" applyFill="0" applyAlignment="0" applyProtection="0"/>
    <xf numFmtId="0" fontId="34" fillId="0" borderId="3" applyNumberFormat="0" applyFill="0" applyAlignment="0" applyProtection="0"/>
    <xf numFmtId="0" fontId="34" fillId="0" borderId="0" applyNumberFormat="0" applyFill="0" applyBorder="0" applyAlignment="0" applyProtection="0"/>
    <xf numFmtId="0" fontId="35" fillId="0" borderId="0"/>
    <xf numFmtId="0" fontId="36" fillId="0" borderId="0"/>
  </cellStyleXfs>
  <cellXfs count="343">
    <xf numFmtId="0" fontId="0" fillId="0" borderId="0" xfId="0"/>
    <xf numFmtId="0" fontId="37" fillId="0" borderId="11" xfId="0" applyFont="1" applyBorder="1"/>
    <xf numFmtId="0" fontId="37" fillId="0" borderId="10" xfId="0" applyFont="1" applyBorder="1"/>
    <xf numFmtId="0" fontId="37" fillId="0" borderId="14" xfId="0" applyFont="1" applyBorder="1"/>
    <xf numFmtId="0" fontId="37" fillId="0" borderId="17" xfId="0" applyFont="1" applyBorder="1"/>
    <xf numFmtId="0" fontId="37" fillId="0" borderId="21" xfId="0" applyFont="1" applyBorder="1"/>
    <xf numFmtId="0" fontId="37" fillId="0" borderId="20" xfId="0" applyFont="1" applyBorder="1"/>
    <xf numFmtId="0" fontId="37" fillId="0" borderId="23" xfId="0" applyFont="1" applyBorder="1"/>
    <xf numFmtId="0" fontId="37" fillId="0" borderId="22" xfId="0" applyFont="1" applyBorder="1"/>
    <xf numFmtId="0" fontId="37" fillId="0" borderId="13" xfId="0" applyFont="1" applyBorder="1"/>
    <xf numFmtId="0" fontId="37" fillId="0" borderId="12" xfId="0" applyFont="1" applyBorder="1"/>
    <xf numFmtId="0" fontId="37" fillId="0" borderId="19" xfId="0" applyFont="1" applyBorder="1"/>
    <xf numFmtId="0" fontId="37" fillId="0" borderId="16" xfId="0" applyFont="1" applyBorder="1"/>
    <xf numFmtId="0" fontId="37" fillId="0" borderId="18" xfId="0" applyFont="1" applyBorder="1"/>
    <xf numFmtId="0" fontId="37" fillId="0" borderId="24" xfId="0" applyFont="1" applyBorder="1"/>
    <xf numFmtId="0" fontId="39" fillId="0" borderId="0" xfId="0" applyFont="1"/>
    <xf numFmtId="0" fontId="38" fillId="0" borderId="0" xfId="0" applyFont="1"/>
    <xf numFmtId="0" fontId="40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40" fillId="0" borderId="0" xfId="0" applyFont="1"/>
    <xf numFmtId="0" fontId="0" fillId="0" borderId="14" xfId="0" applyBorder="1"/>
    <xf numFmtId="0" fontId="0" fillId="0" borderId="22" xfId="0" applyBorder="1"/>
    <xf numFmtId="0" fontId="0" fillId="0" borderId="23" xfId="0" applyBorder="1"/>
    <xf numFmtId="0" fontId="37" fillId="0" borderId="32" xfId="0" applyFont="1" applyBorder="1"/>
    <xf numFmtId="0" fontId="37" fillId="0" borderId="31" xfId="0" applyFont="1" applyBorder="1"/>
    <xf numFmtId="0" fontId="39" fillId="0" borderId="35" xfId="0" applyFont="1" applyBorder="1"/>
    <xf numFmtId="0" fontId="37" fillId="0" borderId="36" xfId="0" applyFont="1" applyBorder="1"/>
    <xf numFmtId="0" fontId="37" fillId="0" borderId="35" xfId="0" applyFont="1" applyBorder="1"/>
    <xf numFmtId="0" fontId="0" fillId="0" borderId="10" xfId="0" applyBorder="1"/>
    <xf numFmtId="0" fontId="0" fillId="0" borderId="16" xfId="0" applyBorder="1"/>
    <xf numFmtId="0" fontId="0" fillId="0" borderId="18" xfId="0" applyBorder="1"/>
    <xf numFmtId="0" fontId="0" fillId="0" borderId="20" xfId="0" applyBorder="1"/>
    <xf numFmtId="0" fontId="0" fillId="0" borderId="11" xfId="0" applyBorder="1"/>
    <xf numFmtId="0" fontId="0" fillId="0" borderId="19" xfId="0" applyBorder="1"/>
    <xf numFmtId="0" fontId="39" fillId="0" borderId="10" xfId="0" applyFont="1" applyBorder="1"/>
    <xf numFmtId="0" fontId="0" fillId="0" borderId="36" xfId="0" applyBorder="1"/>
    <xf numFmtId="0" fontId="0" fillId="0" borderId="35" xfId="0" applyBorder="1"/>
    <xf numFmtId="0" fontId="0" fillId="0" borderId="32" xfId="0" applyBorder="1"/>
    <xf numFmtId="0" fontId="37" fillId="0" borderId="0" xfId="0" applyFont="1"/>
    <xf numFmtId="0" fontId="0" fillId="0" borderId="31" xfId="0" applyBorder="1"/>
    <xf numFmtId="0" fontId="39" fillId="0" borderId="34" xfId="0" applyFont="1" applyBorder="1"/>
    <xf numFmtId="0" fontId="39" fillId="0" borderId="32" xfId="0" applyFont="1" applyBorder="1"/>
    <xf numFmtId="0" fontId="45" fillId="0" borderId="0" xfId="0" applyFont="1" applyAlignment="1">
      <alignment vertical="center" wrapText="1"/>
    </xf>
    <xf numFmtId="0" fontId="42" fillId="0" borderId="0" xfId="0" applyFont="1"/>
    <xf numFmtId="0" fontId="44" fillId="0" borderId="31" xfId="0" applyFont="1" applyBorder="1"/>
    <xf numFmtId="0" fontId="44" fillId="0" borderId="16" xfId="0" applyFont="1" applyBorder="1"/>
    <xf numFmtId="0" fontId="44" fillId="0" borderId="18" xfId="0" applyFont="1" applyBorder="1"/>
    <xf numFmtId="0" fontId="44" fillId="0" borderId="11" xfId="0" applyFont="1" applyBorder="1"/>
    <xf numFmtId="0" fontId="44" fillId="0" borderId="10" xfId="0" applyFont="1" applyBorder="1"/>
    <xf numFmtId="0" fontId="44" fillId="0" borderId="20" xfId="0" applyFont="1" applyBorder="1"/>
    <xf numFmtId="0" fontId="44" fillId="0" borderId="17" xfId="0" applyFont="1" applyBorder="1"/>
    <xf numFmtId="0" fontId="44" fillId="0" borderId="14" xfId="0" applyFont="1" applyBorder="1"/>
    <xf numFmtId="0" fontId="44" fillId="0" borderId="22" xfId="0" applyFont="1" applyBorder="1"/>
    <xf numFmtId="0" fontId="44" fillId="0" borderId="12" xfId="0" applyFont="1" applyBorder="1"/>
    <xf numFmtId="0" fontId="44" fillId="0" borderId="24" xfId="0" applyFont="1" applyBorder="1"/>
    <xf numFmtId="0" fontId="42" fillId="0" borderId="0" xfId="0" applyFont="1" applyAlignment="1">
      <alignment horizontal="left"/>
    </xf>
    <xf numFmtId="0" fontId="44" fillId="0" borderId="36" xfId="0" applyFont="1" applyBorder="1"/>
    <xf numFmtId="0" fontId="44" fillId="0" borderId="35" xfId="0" applyFont="1" applyBorder="1"/>
    <xf numFmtId="0" fontId="44" fillId="0" borderId="32" xfId="0" applyFont="1" applyBorder="1"/>
    <xf numFmtId="0" fontId="37" fillId="0" borderId="37" xfId="0" applyFont="1" applyBorder="1" applyAlignment="1">
      <alignment horizontal="center" vertical="center"/>
    </xf>
    <xf numFmtId="0" fontId="37" fillId="0" borderId="38" xfId="0" applyFont="1" applyBorder="1" applyAlignment="1">
      <alignment horizontal="center" vertical="center"/>
    </xf>
    <xf numFmtId="0" fontId="37" fillId="0" borderId="44" xfId="0" applyFont="1" applyBorder="1"/>
    <xf numFmtId="0" fontId="37" fillId="0" borderId="37" xfId="0" applyFont="1" applyBorder="1"/>
    <xf numFmtId="0" fontId="37" fillId="0" borderId="38" xfId="0" applyFont="1" applyBorder="1"/>
    <xf numFmtId="0" fontId="37" fillId="0" borderId="44" xfId="0" applyFont="1" applyBorder="1" applyAlignment="1">
      <alignment horizontal="center" vertical="center"/>
    </xf>
    <xf numFmtId="0" fontId="44" fillId="0" borderId="13" xfId="0" applyFont="1" applyBorder="1"/>
    <xf numFmtId="0" fontId="18" fillId="0" borderId="10" xfId="0" applyFont="1" applyBorder="1"/>
    <xf numFmtId="0" fontId="18" fillId="0" borderId="0" xfId="0" applyFont="1"/>
    <xf numFmtId="0" fontId="46" fillId="0" borderId="0" xfId="0" applyFont="1"/>
    <xf numFmtId="0" fontId="48" fillId="0" borderId="0" xfId="0" applyFont="1"/>
    <xf numFmtId="0" fontId="49" fillId="0" borderId="10" xfId="0" applyFont="1" applyBorder="1" applyAlignment="1">
      <alignment horizontal="center" vertical="center"/>
    </xf>
    <xf numFmtId="0" fontId="46" fillId="0" borderId="10" xfId="0" applyFont="1" applyBorder="1" applyAlignment="1">
      <alignment vertical="center"/>
    </xf>
    <xf numFmtId="0" fontId="46" fillId="0" borderId="0" xfId="0" applyFont="1" applyAlignment="1">
      <alignment horizontal="left"/>
    </xf>
    <xf numFmtId="0" fontId="47" fillId="0" borderId="0" xfId="0" applyFont="1"/>
    <xf numFmtId="0" fontId="49" fillId="0" borderId="0" xfId="0" applyFont="1" applyAlignment="1">
      <alignment horizontal="center" vertical="center"/>
    </xf>
    <xf numFmtId="0" fontId="49" fillId="0" borderId="10" xfId="0" applyFont="1" applyBorder="1" applyAlignment="1">
      <alignment vertical="center"/>
    </xf>
    <xf numFmtId="0" fontId="46" fillId="0" borderId="0" xfId="0" applyFont="1" applyAlignment="1">
      <alignment vertical="center"/>
    </xf>
    <xf numFmtId="0" fontId="46" fillId="0" borderId="0" xfId="0" applyFont="1" applyAlignment="1">
      <alignment horizontal="right" vertical="center"/>
    </xf>
    <xf numFmtId="0" fontId="46" fillId="0" borderId="0" xfId="0" applyFont="1" applyAlignment="1">
      <alignment horizontal="left" vertical="center"/>
    </xf>
    <xf numFmtId="0" fontId="49" fillId="0" borderId="0" xfId="0" applyFont="1" applyAlignment="1">
      <alignment horizontal="right" vertical="center"/>
    </xf>
    <xf numFmtId="0" fontId="46" fillId="0" borderId="0" xfId="0" applyFont="1" applyAlignment="1">
      <alignment horizontal="center" vertical="center"/>
    </xf>
    <xf numFmtId="0" fontId="47" fillId="0" borderId="0" xfId="0" applyFont="1" applyAlignment="1">
      <alignment vertical="center"/>
    </xf>
    <xf numFmtId="0" fontId="48" fillId="0" borderId="0" xfId="0" applyFont="1" applyAlignment="1">
      <alignment horizontal="center" vertical="center"/>
    </xf>
    <xf numFmtId="0" fontId="48" fillId="0" borderId="0" xfId="0" applyFont="1" applyAlignment="1">
      <alignment vertical="center"/>
    </xf>
    <xf numFmtId="0" fontId="16" fillId="0" borderId="0" xfId="0" applyFont="1"/>
    <xf numFmtId="0" fontId="43" fillId="0" borderId="0" xfId="0" applyFont="1" applyAlignment="1">
      <alignment vertical="center" wrapText="1"/>
    </xf>
    <xf numFmtId="0" fontId="50" fillId="0" borderId="0" xfId="0" applyFont="1" applyAlignment="1">
      <alignment vertical="center"/>
    </xf>
    <xf numFmtId="0" fontId="18" fillId="0" borderId="10" xfId="0" applyFont="1" applyBorder="1" applyAlignment="1">
      <alignment vertical="center"/>
    </xf>
    <xf numFmtId="0" fontId="18" fillId="0" borderId="0" xfId="0" applyFont="1" applyAlignment="1">
      <alignment vertical="center"/>
    </xf>
    <xf numFmtId="0" fontId="52" fillId="0" borderId="10" xfId="0" applyFont="1" applyBorder="1"/>
    <xf numFmtId="0" fontId="52" fillId="0" borderId="31" xfId="0" applyFont="1" applyBorder="1"/>
    <xf numFmtId="0" fontId="52" fillId="0" borderId="16" xfId="0" applyFont="1" applyBorder="1"/>
    <xf numFmtId="0" fontId="52" fillId="0" borderId="18" xfId="0" applyFont="1" applyBorder="1"/>
    <xf numFmtId="0" fontId="52" fillId="0" borderId="11" xfId="0" applyFont="1" applyBorder="1"/>
    <xf numFmtId="0" fontId="52" fillId="0" borderId="20" xfId="0" applyFont="1" applyBorder="1"/>
    <xf numFmtId="0" fontId="18" fillId="0" borderId="0" xfId="0" applyFont="1" applyAlignment="1">
      <alignment vertical="center" wrapText="1"/>
    </xf>
    <xf numFmtId="0" fontId="52" fillId="0" borderId="17" xfId="0" applyFont="1" applyBorder="1"/>
    <xf numFmtId="0" fontId="52" fillId="0" borderId="14" xfId="0" applyFont="1" applyBorder="1"/>
    <xf numFmtId="0" fontId="52" fillId="0" borderId="22" xfId="0" applyFont="1" applyBorder="1"/>
    <xf numFmtId="0" fontId="52" fillId="0" borderId="13" xfId="0" applyFont="1" applyBorder="1"/>
    <xf numFmtId="0" fontId="52" fillId="0" borderId="12" xfId="0" applyFont="1" applyBorder="1"/>
    <xf numFmtId="0" fontId="52" fillId="0" borderId="24" xfId="0" applyFont="1" applyBorder="1"/>
    <xf numFmtId="0" fontId="18" fillId="0" borderId="0" xfId="0" applyFont="1" applyAlignment="1">
      <alignment horizontal="right"/>
    </xf>
    <xf numFmtId="0" fontId="18" fillId="0" borderId="0" xfId="0" applyFont="1" applyAlignment="1">
      <alignment horizontal="left"/>
    </xf>
    <xf numFmtId="0" fontId="52" fillId="0" borderId="0" xfId="0" applyFont="1" applyAlignment="1">
      <alignment horizontal="right"/>
    </xf>
    <xf numFmtId="0" fontId="51" fillId="0" borderId="0" xfId="0" applyFont="1" applyAlignment="1">
      <alignment vertical="center"/>
    </xf>
    <xf numFmtId="0" fontId="52" fillId="0" borderId="10" xfId="0" applyFont="1" applyBorder="1" applyAlignment="1">
      <alignment vertical="center"/>
    </xf>
    <xf numFmtId="0" fontId="52" fillId="0" borderId="31" xfId="0" applyFont="1" applyBorder="1" applyAlignment="1">
      <alignment vertical="center"/>
    </xf>
    <xf numFmtId="0" fontId="52" fillId="0" borderId="16" xfId="0" applyFont="1" applyBorder="1" applyAlignment="1">
      <alignment vertical="center"/>
    </xf>
    <xf numFmtId="0" fontId="52" fillId="0" borderId="18" xfId="0" applyFont="1" applyBorder="1" applyAlignment="1">
      <alignment vertical="center"/>
    </xf>
    <xf numFmtId="0" fontId="52" fillId="0" borderId="11" xfId="0" applyFont="1" applyBorder="1" applyAlignment="1">
      <alignment vertical="center"/>
    </xf>
    <xf numFmtId="0" fontId="52" fillId="0" borderId="20" xfId="0" applyFont="1" applyBorder="1" applyAlignment="1">
      <alignment vertical="center"/>
    </xf>
    <xf numFmtId="0" fontId="52" fillId="0" borderId="17" xfId="0" applyFont="1" applyBorder="1" applyAlignment="1">
      <alignment vertical="center"/>
    </xf>
    <xf numFmtId="0" fontId="52" fillId="0" borderId="14" xfId="0" applyFont="1" applyBorder="1" applyAlignment="1">
      <alignment vertical="center"/>
    </xf>
    <xf numFmtId="0" fontId="52" fillId="0" borderId="22" xfId="0" applyFont="1" applyBorder="1" applyAlignment="1">
      <alignment vertical="center"/>
    </xf>
    <xf numFmtId="0" fontId="52" fillId="0" borderId="13" xfId="0" applyFont="1" applyBorder="1" applyAlignment="1">
      <alignment vertical="center"/>
    </xf>
    <xf numFmtId="0" fontId="52" fillId="0" borderId="12" xfId="0" applyFont="1" applyBorder="1" applyAlignment="1">
      <alignment vertical="center"/>
    </xf>
    <xf numFmtId="0" fontId="52" fillId="0" borderId="24" xfId="0" applyFont="1" applyBorder="1" applyAlignment="1">
      <alignment vertical="center"/>
    </xf>
    <xf numFmtId="0" fontId="18" fillId="0" borderId="0" xfId="0" applyFont="1" applyAlignment="1">
      <alignment horizontal="right" vertical="center"/>
    </xf>
    <xf numFmtId="0" fontId="18" fillId="0" borderId="0" xfId="0" applyFont="1" applyAlignment="1">
      <alignment horizontal="left" vertical="center"/>
    </xf>
    <xf numFmtId="0" fontId="52" fillId="0" borderId="0" xfId="0" applyFont="1" applyAlignment="1">
      <alignment horizontal="right" vertical="center"/>
    </xf>
    <xf numFmtId="0" fontId="18" fillId="0" borderId="0" xfId="0" applyFont="1" applyAlignment="1">
      <alignment horizontal="center" vertical="center"/>
    </xf>
    <xf numFmtId="0" fontId="18" fillId="0" borderId="31" xfId="0" applyFont="1" applyBorder="1"/>
    <xf numFmtId="0" fontId="18" fillId="0" borderId="16" xfId="0" applyFont="1" applyBorder="1"/>
    <xf numFmtId="0" fontId="18" fillId="0" borderId="18" xfId="0" applyFont="1" applyBorder="1"/>
    <xf numFmtId="0" fontId="18" fillId="0" borderId="19" xfId="0" applyFont="1" applyBorder="1"/>
    <xf numFmtId="0" fontId="18" fillId="0" borderId="14" xfId="0" applyFont="1" applyBorder="1"/>
    <xf numFmtId="0" fontId="18" fillId="0" borderId="22" xfId="0" applyFont="1" applyBorder="1"/>
    <xf numFmtId="0" fontId="18" fillId="0" borderId="23" xfId="0" applyFont="1" applyBorder="1"/>
    <xf numFmtId="0" fontId="52" fillId="0" borderId="43" xfId="0" applyFont="1" applyBorder="1" applyAlignment="1">
      <alignment horizontal="center"/>
    </xf>
    <xf numFmtId="0" fontId="52" fillId="0" borderId="43" xfId="0" applyFont="1" applyBorder="1"/>
    <xf numFmtId="0" fontId="52" fillId="0" borderId="25" xfId="0" applyFont="1" applyBorder="1"/>
    <xf numFmtId="0" fontId="52" fillId="0" borderId="40" xfId="0" applyFont="1" applyBorder="1" applyAlignment="1">
      <alignment horizontal="center"/>
    </xf>
    <xf numFmtId="0" fontId="52" fillId="0" borderId="40" xfId="0" applyFont="1" applyBorder="1"/>
    <xf numFmtId="0" fontId="52" fillId="0" borderId="21" xfId="0" applyFont="1" applyBorder="1"/>
    <xf numFmtId="0" fontId="52" fillId="0" borderId="41" xfId="0" applyFont="1" applyBorder="1" applyAlignment="1">
      <alignment horizontal="center"/>
    </xf>
    <xf numFmtId="0" fontId="52" fillId="0" borderId="41" xfId="0" applyFont="1" applyBorder="1"/>
    <xf numFmtId="0" fontId="52" fillId="0" borderId="23" xfId="0" applyFont="1" applyBorder="1"/>
    <xf numFmtId="0" fontId="52" fillId="0" borderId="19" xfId="0" applyFont="1" applyBorder="1"/>
    <xf numFmtId="0" fontId="18" fillId="0" borderId="43" xfId="0" applyFont="1" applyBorder="1"/>
    <xf numFmtId="0" fontId="18" fillId="0" borderId="13" xfId="0" applyFont="1" applyBorder="1"/>
    <xf numFmtId="0" fontId="18" fillId="0" borderId="12" xfId="0" applyFont="1" applyBorder="1"/>
    <xf numFmtId="0" fontId="18" fillId="0" borderId="24" xfId="0" applyFont="1" applyBorder="1"/>
    <xf numFmtId="0" fontId="18" fillId="0" borderId="40" xfId="0" applyFont="1" applyBorder="1"/>
    <xf numFmtId="0" fontId="18" fillId="0" borderId="11" xfId="0" applyFont="1" applyBorder="1"/>
    <xf numFmtId="0" fontId="18" fillId="0" borderId="20" xfId="0" applyFont="1" applyBorder="1"/>
    <xf numFmtId="0" fontId="18" fillId="0" borderId="41" xfId="0" applyFont="1" applyBorder="1"/>
    <xf numFmtId="0" fontId="18" fillId="0" borderId="17" xfId="0" applyFont="1" applyBorder="1"/>
    <xf numFmtId="0" fontId="18" fillId="0" borderId="36" xfId="0" applyFont="1" applyBorder="1"/>
    <xf numFmtId="0" fontId="18" fillId="0" borderId="35" xfId="0" applyFont="1" applyBorder="1"/>
    <xf numFmtId="0" fontId="18" fillId="0" borderId="32" xfId="0" applyFont="1" applyBorder="1"/>
    <xf numFmtId="0" fontId="18" fillId="0" borderId="34" xfId="0" applyFont="1" applyBorder="1"/>
    <xf numFmtId="0" fontId="52" fillId="0" borderId="30" xfId="0" applyFont="1" applyBorder="1" applyAlignment="1">
      <alignment horizontal="center"/>
    </xf>
    <xf numFmtId="0" fontId="18" fillId="0" borderId="39" xfId="0" applyFont="1" applyBorder="1"/>
    <xf numFmtId="0" fontId="52" fillId="0" borderId="33" xfId="0" applyFont="1" applyBorder="1" applyAlignment="1">
      <alignment horizontal="center"/>
    </xf>
    <xf numFmtId="0" fontId="18" fillId="0" borderId="0" xfId="0" applyFont="1" applyAlignment="1">
      <alignment horizontal="center"/>
    </xf>
    <xf numFmtId="0" fontId="48" fillId="0" borderId="15" xfId="0" applyFont="1" applyBorder="1"/>
    <xf numFmtId="0" fontId="52" fillId="0" borderId="36" xfId="0" applyFont="1" applyBorder="1" applyAlignment="1">
      <alignment vertical="center"/>
    </xf>
    <xf numFmtId="0" fontId="52" fillId="0" borderId="35" xfId="0" applyFont="1" applyBorder="1" applyAlignment="1">
      <alignment vertical="center"/>
    </xf>
    <xf numFmtId="0" fontId="52" fillId="0" borderId="32" xfId="0" applyFont="1" applyBorder="1" applyAlignment="1">
      <alignment vertical="center"/>
    </xf>
    <xf numFmtId="0" fontId="52" fillId="0" borderId="44" xfId="0" applyFont="1" applyBorder="1" applyAlignment="1">
      <alignment vertical="center"/>
    </xf>
    <xf numFmtId="0" fontId="52" fillId="0" borderId="37" xfId="0" applyFont="1" applyBorder="1" applyAlignment="1">
      <alignment vertical="center"/>
    </xf>
    <xf numFmtId="0" fontId="52" fillId="0" borderId="38" xfId="0" applyFont="1" applyBorder="1" applyAlignment="1">
      <alignment vertical="center"/>
    </xf>
    <xf numFmtId="0" fontId="43" fillId="0" borderId="0" xfId="0" applyFont="1" applyAlignment="1">
      <alignment vertical="center"/>
    </xf>
    <xf numFmtId="0" fontId="48" fillId="0" borderId="0" xfId="0" applyFont="1" applyAlignment="1">
      <alignment horizontal="left" vertical="center"/>
    </xf>
    <xf numFmtId="0" fontId="38" fillId="0" borderId="13" xfId="0" applyFont="1" applyBorder="1"/>
    <xf numFmtId="0" fontId="38" fillId="0" borderId="12" xfId="0" applyFont="1" applyBorder="1"/>
    <xf numFmtId="0" fontId="38" fillId="0" borderId="24" xfId="0" applyFont="1" applyBorder="1"/>
    <xf numFmtId="0" fontId="0" fillId="0" borderId="12" xfId="0" applyBorder="1"/>
    <xf numFmtId="0" fontId="46" fillId="0" borderId="12" xfId="0" applyFont="1" applyBorder="1" applyAlignment="1">
      <alignment vertical="center"/>
    </xf>
    <xf numFmtId="0" fontId="49" fillId="0" borderId="35" xfId="0" applyFont="1" applyBorder="1" applyAlignment="1">
      <alignment horizontal="center" vertical="center"/>
    </xf>
    <xf numFmtId="0" fontId="49" fillId="0" borderId="12" xfId="0" applyFont="1" applyBorder="1" applyAlignment="1">
      <alignment vertical="center"/>
    </xf>
    <xf numFmtId="0" fontId="49" fillId="0" borderId="16" xfId="0" applyFont="1" applyBorder="1" applyAlignment="1">
      <alignment vertical="center"/>
    </xf>
    <xf numFmtId="0" fontId="49" fillId="0" borderId="18" xfId="0" applyFont="1" applyBorder="1" applyAlignment="1">
      <alignment vertical="center"/>
    </xf>
    <xf numFmtId="0" fontId="49" fillId="0" borderId="20" xfId="0" applyFont="1" applyBorder="1" applyAlignment="1">
      <alignment vertical="center"/>
    </xf>
    <xf numFmtId="0" fontId="49" fillId="0" borderId="14" xfId="0" applyFont="1" applyBorder="1" applyAlignment="1">
      <alignment vertical="center"/>
    </xf>
    <xf numFmtId="0" fontId="49" fillId="0" borderId="22" xfId="0" applyFont="1" applyBorder="1" applyAlignment="1">
      <alignment vertical="center"/>
    </xf>
    <xf numFmtId="0" fontId="46" fillId="0" borderId="14" xfId="0" applyFont="1" applyBorder="1" applyAlignment="1">
      <alignment vertical="center"/>
    </xf>
    <xf numFmtId="0" fontId="49" fillId="0" borderId="30" xfId="0" applyFont="1" applyBorder="1" applyAlignment="1">
      <alignment horizontal="center" vertical="center"/>
    </xf>
    <xf numFmtId="0" fontId="49" fillId="0" borderId="46" xfId="0" applyFont="1" applyBorder="1" applyAlignment="1">
      <alignment horizontal="center" vertical="center"/>
    </xf>
    <xf numFmtId="0" fontId="49" fillId="0" borderId="33" xfId="0" applyFont="1" applyBorder="1" applyAlignment="1">
      <alignment horizontal="center" vertical="center"/>
    </xf>
    <xf numFmtId="0" fontId="0" fillId="0" borderId="17" xfId="0" applyBorder="1"/>
    <xf numFmtId="0" fontId="0" fillId="0" borderId="40" xfId="0" applyBorder="1"/>
    <xf numFmtId="0" fontId="0" fillId="0" borderId="41" xfId="0" applyBorder="1"/>
    <xf numFmtId="0" fontId="49" fillId="0" borderId="31" xfId="0" applyFont="1" applyBorder="1" applyAlignment="1">
      <alignment vertical="center"/>
    </xf>
    <xf numFmtId="0" fontId="49" fillId="0" borderId="11" xfId="0" applyFont="1" applyBorder="1" applyAlignment="1">
      <alignment vertical="center"/>
    </xf>
    <xf numFmtId="0" fontId="49" fillId="0" borderId="17" xfId="0" applyFont="1" applyBorder="1" applyAlignment="1">
      <alignment vertical="center"/>
    </xf>
    <xf numFmtId="0" fontId="0" fillId="0" borderId="21" xfId="0" applyBorder="1"/>
    <xf numFmtId="0" fontId="46" fillId="0" borderId="16" xfId="0" applyFont="1" applyBorder="1" applyAlignment="1">
      <alignment vertical="center"/>
    </xf>
    <xf numFmtId="0" fontId="46" fillId="0" borderId="20" xfId="0" applyFont="1" applyBorder="1" applyAlignment="1">
      <alignment vertical="center"/>
    </xf>
    <xf numFmtId="0" fontId="46" fillId="0" borderId="22" xfId="0" applyFont="1" applyBorder="1" applyAlignment="1">
      <alignment vertical="center"/>
    </xf>
    <xf numFmtId="0" fontId="46" fillId="0" borderId="24" xfId="0" applyFont="1" applyBorder="1" applyAlignment="1">
      <alignment vertical="center"/>
    </xf>
    <xf numFmtId="0" fontId="49" fillId="0" borderId="13" xfId="0" applyFont="1" applyBorder="1" applyAlignment="1">
      <alignment vertical="center"/>
    </xf>
    <xf numFmtId="0" fontId="46" fillId="0" borderId="31" xfId="0" applyFont="1" applyBorder="1" applyAlignment="1">
      <alignment vertical="center"/>
    </xf>
    <xf numFmtId="0" fontId="46" fillId="0" borderId="11" xfId="0" applyFont="1" applyBorder="1" applyAlignment="1">
      <alignment vertical="center"/>
    </xf>
    <xf numFmtId="0" fontId="46" fillId="0" borderId="17" xfId="0" applyFont="1" applyBorder="1" applyAlignment="1">
      <alignment vertical="center"/>
    </xf>
    <xf numFmtId="0" fontId="18" fillId="0" borderId="14" xfId="0" applyFont="1" applyBorder="1" applyAlignment="1">
      <alignment vertical="center"/>
    </xf>
    <xf numFmtId="0" fontId="52" fillId="0" borderId="30" xfId="0" applyFont="1" applyBorder="1" applyAlignment="1">
      <alignment horizontal="center" vertical="center"/>
    </xf>
    <xf numFmtId="0" fontId="52" fillId="0" borderId="46" xfId="0" applyFont="1" applyBorder="1" applyAlignment="1">
      <alignment horizontal="center" vertical="center"/>
    </xf>
    <xf numFmtId="0" fontId="52" fillId="0" borderId="33" xfId="0" applyFont="1" applyBorder="1" applyAlignment="1">
      <alignment horizontal="center" vertical="center"/>
    </xf>
    <xf numFmtId="0" fontId="18" fillId="0" borderId="31" xfId="0" applyFont="1" applyBorder="1" applyAlignment="1">
      <alignment vertical="center"/>
    </xf>
    <xf numFmtId="0" fontId="18" fillId="0" borderId="11" xfId="0" applyFont="1" applyBorder="1" applyAlignment="1">
      <alignment vertical="center"/>
    </xf>
    <xf numFmtId="0" fontId="18" fillId="0" borderId="17" xfId="0" applyFont="1" applyBorder="1" applyAlignment="1">
      <alignment vertical="center"/>
    </xf>
    <xf numFmtId="0" fontId="18" fillId="0" borderId="40" xfId="0" applyFont="1" applyBorder="1" applyAlignment="1">
      <alignment vertical="center"/>
    </xf>
    <xf numFmtId="0" fontId="18" fillId="0" borderId="41" xfId="0" applyFont="1" applyBorder="1" applyAlignment="1">
      <alignment vertical="center"/>
    </xf>
    <xf numFmtId="0" fontId="53" fillId="0" borderId="11" xfId="0" applyFont="1" applyBorder="1" applyAlignment="1">
      <alignment vertical="center"/>
    </xf>
    <xf numFmtId="0" fontId="53" fillId="0" borderId="17" xfId="0" applyFont="1" applyBorder="1" applyAlignment="1">
      <alignment vertical="center"/>
    </xf>
    <xf numFmtId="0" fontId="53" fillId="0" borderId="31" xfId="0" applyFont="1" applyBorder="1" applyAlignment="1">
      <alignment vertical="center"/>
    </xf>
    <xf numFmtId="0" fontId="18" fillId="0" borderId="21" xfId="0" applyFont="1" applyBorder="1" applyAlignment="1">
      <alignment vertical="center"/>
    </xf>
    <xf numFmtId="0" fontId="18" fillId="0" borderId="20" xfId="0" applyFont="1" applyBorder="1" applyAlignment="1">
      <alignment vertical="center"/>
    </xf>
    <xf numFmtId="0" fontId="18" fillId="0" borderId="23" xfId="0" applyFont="1" applyBorder="1" applyAlignment="1">
      <alignment vertical="center"/>
    </xf>
    <xf numFmtId="0" fontId="18" fillId="0" borderId="22" xfId="0" applyFont="1" applyBorder="1" applyAlignment="1">
      <alignment vertical="center"/>
    </xf>
    <xf numFmtId="0" fontId="52" fillId="0" borderId="46" xfId="0" applyFont="1" applyBorder="1" applyAlignment="1">
      <alignment horizontal="center"/>
    </xf>
    <xf numFmtId="0" fontId="49" fillId="0" borderId="24" xfId="0" applyFont="1" applyBorder="1" applyAlignment="1">
      <alignment vertical="center"/>
    </xf>
    <xf numFmtId="0" fontId="46" fillId="0" borderId="23" xfId="0" applyFont="1" applyBorder="1" applyAlignment="1">
      <alignment vertical="center"/>
    </xf>
    <xf numFmtId="0" fontId="49" fillId="0" borderId="48" xfId="0" applyFont="1" applyBorder="1" applyAlignment="1">
      <alignment horizontal="center" vertical="center"/>
    </xf>
    <xf numFmtId="0" fontId="46" fillId="0" borderId="13" xfId="0" applyFont="1" applyBorder="1" applyAlignment="1">
      <alignment vertical="center"/>
    </xf>
    <xf numFmtId="0" fontId="49" fillId="0" borderId="18" xfId="0" applyFont="1" applyBorder="1"/>
    <xf numFmtId="0" fontId="49" fillId="0" borderId="20" xfId="0" applyFont="1" applyBorder="1"/>
    <xf numFmtId="0" fontId="49" fillId="0" borderId="22" xfId="0" applyFont="1" applyBorder="1"/>
    <xf numFmtId="0" fontId="49" fillId="0" borderId="24" xfId="0" applyFont="1" applyBorder="1"/>
    <xf numFmtId="0" fontId="49" fillId="0" borderId="47" xfId="0" applyFont="1" applyBorder="1" applyAlignment="1">
      <alignment vertical="center"/>
    </xf>
    <xf numFmtId="0" fontId="49" fillId="0" borderId="35" xfId="0" applyFont="1" applyBorder="1" applyAlignment="1">
      <alignment vertical="center"/>
    </xf>
    <xf numFmtId="0" fontId="49" fillId="0" borderId="27" xfId="0" applyFont="1" applyBorder="1" applyAlignment="1">
      <alignment vertical="center"/>
    </xf>
    <xf numFmtId="0" fontId="49" fillId="0" borderId="16" xfId="0" applyFont="1" applyBorder="1" applyAlignment="1">
      <alignment horizontal="center" vertical="center"/>
    </xf>
    <xf numFmtId="0" fontId="49" fillId="0" borderId="18" xfId="0" applyFont="1" applyBorder="1" applyAlignment="1">
      <alignment horizontal="center" vertical="center"/>
    </xf>
    <xf numFmtId="0" fontId="48" fillId="0" borderId="49" xfId="0" applyFont="1" applyBorder="1" applyAlignment="1">
      <alignment horizontal="center" vertical="center"/>
    </xf>
    <xf numFmtId="0" fontId="47" fillId="0" borderId="50" xfId="0" applyFont="1" applyBorder="1" applyAlignment="1">
      <alignment horizontal="left" vertical="center"/>
    </xf>
    <xf numFmtId="0" fontId="47" fillId="0" borderId="44" xfId="0" applyFont="1" applyBorder="1" applyAlignment="1">
      <alignment vertical="center"/>
    </xf>
    <xf numFmtId="0" fontId="47" fillId="0" borderId="37" xfId="0" applyFont="1" applyBorder="1" applyAlignment="1">
      <alignment vertical="center"/>
    </xf>
    <xf numFmtId="0" fontId="49" fillId="0" borderId="31" xfId="0" applyFont="1" applyBorder="1" applyAlignment="1">
      <alignment horizontal="center" vertical="center"/>
    </xf>
    <xf numFmtId="0" fontId="48" fillId="0" borderId="37" xfId="0" applyFont="1" applyBorder="1" applyAlignment="1">
      <alignment vertical="center"/>
    </xf>
    <xf numFmtId="0" fontId="48" fillId="0" borderId="38" xfId="0" applyFont="1" applyBorder="1" applyAlignment="1">
      <alignment vertical="center"/>
    </xf>
    <xf numFmtId="0" fontId="49" fillId="0" borderId="37" xfId="0" applyFont="1" applyBorder="1" applyAlignment="1">
      <alignment vertical="center"/>
    </xf>
    <xf numFmtId="0" fontId="49" fillId="0" borderId="38" xfId="0" applyFont="1" applyBorder="1" applyAlignment="1">
      <alignment vertical="center"/>
    </xf>
    <xf numFmtId="0" fontId="49" fillId="0" borderId="51" xfId="0" applyFont="1" applyBorder="1" applyAlignment="1">
      <alignment horizontal="center" vertical="center"/>
    </xf>
    <xf numFmtId="0" fontId="49" fillId="0" borderId="36" xfId="0" applyFont="1" applyBorder="1" applyAlignment="1">
      <alignment vertical="center"/>
    </xf>
    <xf numFmtId="0" fontId="49" fillId="0" borderId="32" xfId="0" applyFont="1" applyBorder="1" applyAlignment="1">
      <alignment vertical="center"/>
    </xf>
    <xf numFmtId="0" fontId="49" fillId="0" borderId="52" xfId="0" applyFont="1" applyBorder="1" applyAlignment="1">
      <alignment horizontal="center" vertical="center"/>
    </xf>
    <xf numFmtId="0" fontId="49" fillId="0" borderId="37" xfId="0" applyFont="1" applyBorder="1" applyAlignment="1">
      <alignment horizontal="center" vertical="center"/>
    </xf>
    <xf numFmtId="0" fontId="49" fillId="0" borderId="53" xfId="0" applyFont="1" applyBorder="1" applyAlignment="1">
      <alignment horizontal="center" vertical="center"/>
    </xf>
    <xf numFmtId="0" fontId="49" fillId="0" borderId="44" xfId="0" applyFont="1" applyBorder="1" applyAlignment="1">
      <alignment vertical="center"/>
    </xf>
    <xf numFmtId="0" fontId="47" fillId="0" borderId="54" xfId="0" applyFont="1" applyBorder="1" applyAlignment="1">
      <alignment horizontal="left" vertical="center"/>
    </xf>
    <xf numFmtId="0" fontId="46" fillId="0" borderId="55" xfId="0" applyFont="1" applyBorder="1" applyAlignment="1">
      <alignment vertical="center"/>
    </xf>
    <xf numFmtId="0" fontId="46" fillId="0" borderId="56" xfId="0" applyFont="1" applyBorder="1" applyAlignment="1">
      <alignment vertical="center"/>
    </xf>
    <xf numFmtId="0" fontId="47" fillId="0" borderId="57" xfId="0" applyFont="1" applyBorder="1" applyAlignment="1">
      <alignment vertical="center"/>
    </xf>
    <xf numFmtId="0" fontId="0" fillId="0" borderId="25" xfId="0" applyBorder="1"/>
    <xf numFmtId="0" fontId="0" fillId="0" borderId="24" xfId="0" applyBorder="1"/>
    <xf numFmtId="0" fontId="49" fillId="0" borderId="47" xfId="0" applyFont="1" applyBorder="1" applyAlignment="1">
      <alignment horizontal="center" vertical="center"/>
    </xf>
    <xf numFmtId="0" fontId="0" fillId="0" borderId="34" xfId="0" applyBorder="1"/>
    <xf numFmtId="0" fontId="52" fillId="0" borderId="48" xfId="0" applyFont="1" applyBorder="1" applyAlignment="1">
      <alignment horizontal="center" vertical="center"/>
    </xf>
    <xf numFmtId="0" fontId="0" fillId="0" borderId="43" xfId="0" applyBorder="1"/>
    <xf numFmtId="0" fontId="0" fillId="0" borderId="13" xfId="0" applyBorder="1"/>
    <xf numFmtId="0" fontId="52" fillId="0" borderId="48" xfId="0" applyFont="1" applyBorder="1" applyAlignment="1">
      <alignment horizontal="center"/>
    </xf>
    <xf numFmtId="0" fontId="18" fillId="0" borderId="60" xfId="0" applyFont="1" applyBorder="1"/>
    <xf numFmtId="0" fontId="18" fillId="0" borderId="45" xfId="0" applyFont="1" applyBorder="1"/>
    <xf numFmtId="0" fontId="18" fillId="0" borderId="27" xfId="0" applyFont="1" applyBorder="1"/>
    <xf numFmtId="0" fontId="18" fillId="0" borderId="29" xfId="0" applyFont="1" applyBorder="1"/>
    <xf numFmtId="0" fontId="49" fillId="0" borderId="19" xfId="0" applyFont="1" applyBorder="1" applyAlignment="1">
      <alignment horizontal="center" vertical="center"/>
    </xf>
    <xf numFmtId="0" fontId="49" fillId="0" borderId="21" xfId="0" applyFont="1" applyBorder="1" applyAlignment="1">
      <alignment horizontal="center" vertical="center"/>
    </xf>
    <xf numFmtId="0" fontId="49" fillId="0" borderId="23" xfId="0" applyFont="1" applyBorder="1" applyAlignment="1">
      <alignment horizontal="center" vertical="center"/>
    </xf>
    <xf numFmtId="0" fontId="52" fillId="0" borderId="19" xfId="0" applyFont="1" applyBorder="1" applyAlignment="1">
      <alignment horizontal="center"/>
    </xf>
    <xf numFmtId="0" fontId="52" fillId="0" borderId="21" xfId="0" applyFont="1" applyBorder="1" applyAlignment="1">
      <alignment horizontal="center"/>
    </xf>
    <xf numFmtId="0" fontId="52" fillId="0" borderId="23" xfId="0" applyFont="1" applyBorder="1" applyAlignment="1">
      <alignment horizontal="center"/>
    </xf>
    <xf numFmtId="0" fontId="48" fillId="0" borderId="0" xfId="0" applyFont="1" applyAlignment="1">
      <alignment horizontal="center"/>
    </xf>
    <xf numFmtId="0" fontId="52" fillId="0" borderId="19" xfId="0" applyFont="1" applyBorder="1" applyAlignment="1">
      <alignment horizontal="center" vertical="center"/>
    </xf>
    <xf numFmtId="0" fontId="52" fillId="0" borderId="21" xfId="0" applyFont="1" applyBorder="1" applyAlignment="1">
      <alignment horizontal="center" vertical="center"/>
    </xf>
    <xf numFmtId="0" fontId="52" fillId="0" borderId="23" xfId="0" applyFont="1" applyBorder="1" applyAlignment="1">
      <alignment horizontal="center" vertical="center"/>
    </xf>
    <xf numFmtId="0" fontId="49" fillId="0" borderId="0" xfId="0" applyFont="1" applyAlignment="1">
      <alignment horizontal="center"/>
    </xf>
    <xf numFmtId="0" fontId="48" fillId="0" borderId="15" xfId="0" applyFont="1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20" xfId="0" applyBorder="1" applyAlignment="1">
      <alignment vertical="center"/>
    </xf>
    <xf numFmtId="0" fontId="52" fillId="0" borderId="26" xfId="0" applyFont="1" applyBorder="1" applyAlignment="1">
      <alignment horizontal="center" vertical="center"/>
    </xf>
    <xf numFmtId="0" fontId="52" fillId="0" borderId="27" xfId="0" applyFont="1" applyBorder="1" applyAlignment="1">
      <alignment horizontal="center" vertical="center"/>
    </xf>
    <xf numFmtId="0" fontId="52" fillId="0" borderId="42" xfId="0" applyFont="1" applyBorder="1" applyAlignment="1">
      <alignment horizontal="center" vertical="center"/>
    </xf>
    <xf numFmtId="0" fontId="52" fillId="0" borderId="45" xfId="0" applyFont="1" applyBorder="1" applyAlignment="1">
      <alignment horizontal="center" vertical="center"/>
    </xf>
    <xf numFmtId="0" fontId="52" fillId="0" borderId="61" xfId="0" applyFont="1" applyBorder="1" applyAlignment="1">
      <alignment horizontal="center" vertical="center"/>
    </xf>
    <xf numFmtId="0" fontId="52" fillId="0" borderId="62" xfId="0" applyFont="1" applyBorder="1" applyAlignment="1">
      <alignment horizontal="center" vertical="center"/>
    </xf>
    <xf numFmtId="0" fontId="52" fillId="0" borderId="63" xfId="0" applyFont="1" applyBorder="1" applyAlignment="1">
      <alignment horizontal="center" vertical="center"/>
    </xf>
    <xf numFmtId="0" fontId="52" fillId="0" borderId="59" xfId="0" applyFont="1" applyBorder="1" applyAlignment="1">
      <alignment horizontal="center" vertical="center"/>
    </xf>
    <xf numFmtId="0" fontId="49" fillId="0" borderId="63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49" fillId="0" borderId="59" xfId="0" applyFont="1" applyBorder="1" applyAlignment="1">
      <alignment horizontal="center" vertical="center"/>
    </xf>
    <xf numFmtId="0" fontId="49" fillId="0" borderId="27" xfId="0" applyFont="1" applyBorder="1" applyAlignment="1">
      <alignment horizontal="center" vertical="center"/>
    </xf>
    <xf numFmtId="0" fontId="49" fillId="0" borderId="14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/>
    </xf>
    <xf numFmtId="0" fontId="52" fillId="0" borderId="62" xfId="0" applyFont="1" applyBorder="1" applyAlignment="1">
      <alignment horizontal="center"/>
    </xf>
    <xf numFmtId="0" fontId="52" fillId="0" borderId="64" xfId="0" applyFont="1" applyBorder="1" applyAlignment="1">
      <alignment horizontal="center" vertical="center"/>
    </xf>
    <xf numFmtId="0" fontId="52" fillId="0" borderId="65" xfId="0" applyFont="1" applyBorder="1" applyAlignment="1">
      <alignment horizontal="center" vertical="center"/>
    </xf>
    <xf numFmtId="0" fontId="49" fillId="0" borderId="64" xfId="0" applyFont="1" applyBorder="1" applyAlignment="1">
      <alignment horizontal="center" vertical="center"/>
    </xf>
    <xf numFmtId="0" fontId="49" fillId="0" borderId="42" xfId="0" applyFont="1" applyBorder="1" applyAlignment="1">
      <alignment horizontal="center" vertical="center"/>
    </xf>
    <xf numFmtId="0" fontId="49" fillId="0" borderId="65" xfId="0" applyFont="1" applyBorder="1" applyAlignment="1">
      <alignment horizontal="center" vertical="center"/>
    </xf>
    <xf numFmtId="0" fontId="49" fillId="0" borderId="45" xfId="0" applyFont="1" applyBorder="1" applyAlignment="1">
      <alignment horizontal="center" vertical="center"/>
    </xf>
    <xf numFmtId="0" fontId="48" fillId="0" borderId="58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0" borderId="11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49" fillId="0" borderId="36" xfId="0" applyFont="1" applyBorder="1" applyAlignment="1">
      <alignment horizontal="center" vertical="center"/>
    </xf>
    <xf numFmtId="0" fontId="49" fillId="0" borderId="35" xfId="0" applyFont="1" applyBorder="1" applyAlignment="1">
      <alignment horizontal="center" vertical="center"/>
    </xf>
    <xf numFmtId="0" fontId="48" fillId="0" borderId="0" xfId="0" applyFont="1" applyAlignment="1">
      <alignment horizontal="right" vertical="center"/>
    </xf>
    <xf numFmtId="0" fontId="48" fillId="0" borderId="0" xfId="0" applyFont="1" applyAlignment="1">
      <alignment horizontal="left" vertical="center"/>
    </xf>
    <xf numFmtId="0" fontId="37" fillId="0" borderId="0" xfId="0" applyFont="1" applyAlignment="1">
      <alignment horizontal="center" vertical="center"/>
    </xf>
    <xf numFmtId="0" fontId="52" fillId="0" borderId="16" xfId="0" applyFont="1" applyBorder="1" applyAlignment="1">
      <alignment horizontal="center" vertical="center"/>
    </xf>
    <xf numFmtId="0" fontId="52" fillId="0" borderId="18" xfId="0" applyFont="1" applyBorder="1" applyAlignment="1">
      <alignment horizontal="center" vertical="center"/>
    </xf>
    <xf numFmtId="0" fontId="52" fillId="0" borderId="14" xfId="0" applyFont="1" applyBorder="1" applyAlignment="1">
      <alignment horizontal="center" vertical="center"/>
    </xf>
    <xf numFmtId="0" fontId="52" fillId="0" borderId="22" xfId="0" applyFont="1" applyBorder="1" applyAlignment="1">
      <alignment horizontal="center" vertical="center"/>
    </xf>
    <xf numFmtId="0" fontId="52" fillId="0" borderId="31" xfId="0" applyFont="1" applyBorder="1" applyAlignment="1">
      <alignment horizontal="center" vertical="center"/>
    </xf>
    <xf numFmtId="0" fontId="52" fillId="0" borderId="17" xfId="0" applyFont="1" applyBorder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2" fillId="0" borderId="29" xfId="0" applyFont="1" applyBorder="1" applyAlignment="1">
      <alignment horizontal="center" vertical="center"/>
    </xf>
    <xf numFmtId="0" fontId="52" fillId="0" borderId="26" xfId="0" applyFont="1" applyBorder="1" applyAlignment="1">
      <alignment horizontal="center" vertical="center"/>
    </xf>
    <xf numFmtId="0" fontId="52" fillId="0" borderId="27" xfId="0" applyFont="1" applyBorder="1" applyAlignment="1">
      <alignment horizontal="center" vertical="center"/>
    </xf>
    <xf numFmtId="0" fontId="52" fillId="0" borderId="42" xfId="0" applyFont="1" applyBorder="1" applyAlignment="1">
      <alignment horizontal="center" vertical="center"/>
    </xf>
    <xf numFmtId="0" fontId="52" fillId="0" borderId="45" xfId="0" applyFont="1" applyBorder="1" applyAlignment="1">
      <alignment horizontal="center" vertical="center"/>
    </xf>
    <xf numFmtId="0" fontId="48" fillId="0" borderId="0" xfId="0" applyFont="1" applyAlignment="1">
      <alignment horizontal="center"/>
    </xf>
    <xf numFmtId="0" fontId="48" fillId="0" borderId="0" xfId="0" applyFont="1" applyAlignment="1">
      <alignment horizontal="left"/>
    </xf>
    <xf numFmtId="0" fontId="48" fillId="0" borderId="0" xfId="0" applyFont="1" applyAlignment="1">
      <alignment horizontal="right"/>
    </xf>
    <xf numFmtId="0" fontId="37" fillId="0" borderId="28" xfId="0" applyFont="1" applyBorder="1" applyAlignment="1">
      <alignment horizontal="center" vertical="center"/>
    </xf>
    <xf numFmtId="0" fontId="37" fillId="0" borderId="38" xfId="0" applyFont="1" applyBorder="1" applyAlignment="1">
      <alignment horizontal="center" vertical="center"/>
    </xf>
    <xf numFmtId="0" fontId="37" fillId="0" borderId="26" xfId="0" applyFont="1" applyBorder="1" applyAlignment="1">
      <alignment horizontal="center" vertical="center"/>
    </xf>
    <xf numFmtId="0" fontId="37" fillId="0" borderId="37" xfId="0" applyFont="1" applyBorder="1" applyAlignment="1">
      <alignment horizontal="center" vertical="center"/>
    </xf>
    <xf numFmtId="0" fontId="37" fillId="0" borderId="42" xfId="0" applyFont="1" applyBorder="1" applyAlignment="1">
      <alignment horizontal="center" vertical="center"/>
    </xf>
    <xf numFmtId="0" fontId="37" fillId="0" borderId="44" xfId="0" applyFont="1" applyBorder="1" applyAlignment="1">
      <alignment horizontal="center" vertical="center"/>
    </xf>
    <xf numFmtId="0" fontId="37" fillId="0" borderId="29" xfId="0" applyFont="1" applyBorder="1" applyAlignment="1">
      <alignment horizontal="center" vertical="center"/>
    </xf>
    <xf numFmtId="0" fontId="37" fillId="0" borderId="27" xfId="0" applyFont="1" applyBorder="1" applyAlignment="1">
      <alignment horizontal="center" vertical="center"/>
    </xf>
    <xf numFmtId="0" fontId="37" fillId="0" borderId="45" xfId="0" applyFont="1" applyBorder="1" applyAlignment="1">
      <alignment horizontal="center" vertical="center"/>
    </xf>
    <xf numFmtId="0" fontId="49" fillId="0" borderId="16" xfId="0" applyFont="1" applyBorder="1" applyAlignment="1">
      <alignment horizontal="center" vertical="center"/>
    </xf>
    <xf numFmtId="0" fontId="49" fillId="0" borderId="18" xfId="0" applyFont="1" applyBorder="1" applyAlignment="1">
      <alignment horizontal="center" vertical="center"/>
    </xf>
    <xf numFmtId="0" fontId="49" fillId="0" borderId="14" xfId="0" applyFont="1" applyBorder="1" applyAlignment="1">
      <alignment horizontal="center" vertical="center"/>
    </xf>
    <xf numFmtId="0" fontId="49" fillId="0" borderId="22" xfId="0" applyFont="1" applyBorder="1" applyAlignment="1">
      <alignment horizontal="center" vertical="center"/>
    </xf>
    <xf numFmtId="0" fontId="49" fillId="0" borderId="31" xfId="0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0" fontId="47" fillId="0" borderId="0" xfId="0" applyFont="1" applyAlignment="1">
      <alignment horizontal="left"/>
    </xf>
    <xf numFmtId="0" fontId="44" fillId="0" borderId="26" xfId="0" applyFont="1" applyBorder="1" applyAlignment="1">
      <alignment horizontal="center" vertical="center"/>
    </xf>
    <xf numFmtId="0" fontId="44" fillId="0" borderId="27" xfId="0" applyFont="1" applyBorder="1" applyAlignment="1">
      <alignment horizontal="center" vertical="center"/>
    </xf>
    <xf numFmtId="0" fontId="44" fillId="0" borderId="28" xfId="0" applyFont="1" applyBorder="1" applyAlignment="1">
      <alignment horizontal="center" vertical="center"/>
    </xf>
    <xf numFmtId="0" fontId="44" fillId="0" borderId="29" xfId="0" applyFont="1" applyBorder="1" applyAlignment="1">
      <alignment horizontal="center" vertical="center"/>
    </xf>
    <xf numFmtId="0" fontId="44" fillId="0" borderId="42" xfId="0" applyFont="1" applyBorder="1" applyAlignment="1">
      <alignment horizontal="center" vertical="center"/>
    </xf>
    <xf numFmtId="0" fontId="44" fillId="0" borderId="45" xfId="0" applyFont="1" applyBorder="1" applyAlignment="1">
      <alignment horizontal="center" vertical="center"/>
    </xf>
  </cellXfs>
  <cellStyles count="86">
    <cellStyle name="20% - ส่วนที่ถูกเน้น1" xfId="19" builtinId="30" customBuiltin="1"/>
    <cellStyle name="20% - ส่วนที่ถูกเน้น1 2" xfId="43" xr:uid="{00000000-0005-0000-0000-000006000000}"/>
    <cellStyle name="20% - ส่วนที่ถูกเน้น2" xfId="23" builtinId="34" customBuiltin="1"/>
    <cellStyle name="20% - ส่วนที่ถูกเน้น2 2" xfId="44" xr:uid="{00000000-0005-0000-0000-000007000000}"/>
    <cellStyle name="20% - ส่วนที่ถูกเน้น3" xfId="27" builtinId="38" customBuiltin="1"/>
    <cellStyle name="20% - ส่วนที่ถูกเน้น3 2" xfId="45" xr:uid="{00000000-0005-0000-0000-000008000000}"/>
    <cellStyle name="20% - ส่วนที่ถูกเน้น4" xfId="31" builtinId="42" customBuiltin="1"/>
    <cellStyle name="20% - ส่วนที่ถูกเน้น4 2" xfId="46" xr:uid="{00000000-0005-0000-0000-000009000000}"/>
    <cellStyle name="20% - ส่วนที่ถูกเน้น5" xfId="35" builtinId="46" customBuiltin="1"/>
    <cellStyle name="20% - ส่วนที่ถูกเน้น5 2" xfId="47" xr:uid="{00000000-0005-0000-0000-00000A000000}"/>
    <cellStyle name="20% - ส่วนที่ถูกเน้น6" xfId="39" builtinId="50" customBuiltin="1"/>
    <cellStyle name="20% - ส่วนที่ถูกเน้น6 2" xfId="48" xr:uid="{00000000-0005-0000-0000-00000B000000}"/>
    <cellStyle name="40% - ส่วนที่ถูกเน้น1" xfId="20" builtinId="31" customBuiltin="1"/>
    <cellStyle name="40% - ส่วนที่ถูกเน้น1 2" xfId="49" xr:uid="{00000000-0005-0000-0000-000012000000}"/>
    <cellStyle name="40% - ส่วนที่ถูกเน้น2" xfId="24" builtinId="35" customBuiltin="1"/>
    <cellStyle name="40% - ส่วนที่ถูกเน้น2 2" xfId="50" xr:uid="{00000000-0005-0000-0000-000013000000}"/>
    <cellStyle name="40% - ส่วนที่ถูกเน้น3" xfId="28" builtinId="39" customBuiltin="1"/>
    <cellStyle name="40% - ส่วนที่ถูกเน้น3 2" xfId="51" xr:uid="{00000000-0005-0000-0000-000014000000}"/>
    <cellStyle name="40% - ส่วนที่ถูกเน้น4" xfId="32" builtinId="43" customBuiltin="1"/>
    <cellStyle name="40% - ส่วนที่ถูกเน้น4 2" xfId="52" xr:uid="{00000000-0005-0000-0000-000015000000}"/>
    <cellStyle name="40% - ส่วนที่ถูกเน้น5" xfId="36" builtinId="47" customBuiltin="1"/>
    <cellStyle name="40% - ส่วนที่ถูกเน้น5 2" xfId="53" xr:uid="{00000000-0005-0000-0000-000016000000}"/>
    <cellStyle name="40% - ส่วนที่ถูกเน้น6" xfId="40" builtinId="51" customBuiltin="1"/>
    <cellStyle name="40% - ส่วนที่ถูกเน้น6 2" xfId="54" xr:uid="{00000000-0005-0000-0000-000017000000}"/>
    <cellStyle name="60% - ส่วนที่ถูกเน้น1" xfId="21" builtinId="32" customBuiltin="1"/>
    <cellStyle name="60% - ส่วนที่ถูกเน้น1 2" xfId="55" xr:uid="{00000000-0005-0000-0000-00001E000000}"/>
    <cellStyle name="60% - ส่วนที่ถูกเน้น2" xfId="25" builtinId="36" customBuiltin="1"/>
    <cellStyle name="60% - ส่วนที่ถูกเน้น2 2" xfId="56" xr:uid="{00000000-0005-0000-0000-00001F000000}"/>
    <cellStyle name="60% - ส่วนที่ถูกเน้น3" xfId="29" builtinId="40" customBuiltin="1"/>
    <cellStyle name="60% - ส่วนที่ถูกเน้น3 2" xfId="57" xr:uid="{00000000-0005-0000-0000-000020000000}"/>
    <cellStyle name="60% - ส่วนที่ถูกเน้น4" xfId="33" builtinId="44" customBuiltin="1"/>
    <cellStyle name="60% - ส่วนที่ถูกเน้น4 2" xfId="58" xr:uid="{00000000-0005-0000-0000-000021000000}"/>
    <cellStyle name="60% - ส่วนที่ถูกเน้น5" xfId="37" builtinId="48" customBuiltin="1"/>
    <cellStyle name="60% - ส่วนที่ถูกเน้น5 2" xfId="59" xr:uid="{00000000-0005-0000-0000-000022000000}"/>
    <cellStyle name="60% - ส่วนที่ถูกเน้น6" xfId="41" builtinId="52" customBuiltin="1"/>
    <cellStyle name="60% - ส่วนที่ถูกเน้น6 2" xfId="60" xr:uid="{00000000-0005-0000-0000-000023000000}"/>
    <cellStyle name="Normal 2" xfId="42" xr:uid="{00000000-0005-0000-0000-000037000000}"/>
    <cellStyle name="Normal 3" xfId="84" xr:uid="{00000000-0005-0000-0000-000038000000}"/>
    <cellStyle name="การคำนวณ" xfId="11" builtinId="22" customBuiltin="1"/>
    <cellStyle name="การคำนวณ 2" xfId="65" xr:uid="{00000000-0005-0000-0000-00003E000000}"/>
    <cellStyle name="ข้อความเตือน" xfId="14" builtinId="11" customBuiltin="1"/>
    <cellStyle name="ข้อความเตือน 2" xfId="66" xr:uid="{00000000-0005-0000-0000-00003F000000}"/>
    <cellStyle name="ข้อความอธิบาย" xfId="16" builtinId="53" customBuiltin="1"/>
    <cellStyle name="ข้อความอธิบาย 2" xfId="67" xr:uid="{00000000-0005-0000-0000-000040000000}"/>
    <cellStyle name="ชื่อเรื่อง" xfId="1" builtinId="15" customBuiltin="1"/>
    <cellStyle name="ชื่อเรื่อง 2" xfId="68" xr:uid="{00000000-0005-0000-0000-000041000000}"/>
    <cellStyle name="เซลล์ตรวจสอบ" xfId="13" builtinId="23" customBuiltin="1"/>
    <cellStyle name="เซลล์ตรวจสอบ 2" xfId="61" xr:uid="{00000000-0005-0000-0000-000042000000}"/>
    <cellStyle name="เซลล์ที่มีการเชื่อมโยง 2" xfId="62" xr:uid="{00000000-0005-0000-0000-000043000000}"/>
    <cellStyle name="เซลล์ที่มีลิงก์" xfId="12" builtinId="24" customBuiltin="1"/>
    <cellStyle name="ดี" xfId="6" builtinId="26" customBuiltin="1"/>
    <cellStyle name="ดี 2" xfId="69" xr:uid="{00000000-0005-0000-0000-000044000000}"/>
    <cellStyle name="ปกติ" xfId="0" builtinId="0"/>
    <cellStyle name="ปกติ 2" xfId="85" xr:uid="{00000000-0005-0000-0000-000045000000}"/>
    <cellStyle name="ป้อนค่า" xfId="9" builtinId="20" customBuiltin="1"/>
    <cellStyle name="ป้อนค่า 2" xfId="70" xr:uid="{00000000-0005-0000-0000-000046000000}"/>
    <cellStyle name="ปานกลาง" xfId="8" builtinId="28" customBuiltin="1"/>
    <cellStyle name="ปานกลาง 2" xfId="71" xr:uid="{00000000-0005-0000-0000-000047000000}"/>
    <cellStyle name="ผลรวม" xfId="17" builtinId="25" customBuiltin="1"/>
    <cellStyle name="ผลรวม 2" xfId="72" xr:uid="{00000000-0005-0000-0000-000048000000}"/>
    <cellStyle name="แย่" xfId="7" builtinId="27" customBuiltin="1"/>
    <cellStyle name="แย่ 2" xfId="63" xr:uid="{00000000-0005-0000-0000-000049000000}"/>
    <cellStyle name="ส่วนที่ถูกเน้น1" xfId="18" builtinId="29" customBuiltin="1"/>
    <cellStyle name="ส่วนที่ถูกเน้น1 2" xfId="73" xr:uid="{00000000-0005-0000-0000-00004A000000}"/>
    <cellStyle name="ส่วนที่ถูกเน้น2" xfId="22" builtinId="33" customBuiltin="1"/>
    <cellStyle name="ส่วนที่ถูกเน้น2 2" xfId="74" xr:uid="{00000000-0005-0000-0000-00004B000000}"/>
    <cellStyle name="ส่วนที่ถูกเน้น3" xfId="26" builtinId="37" customBuiltin="1"/>
    <cellStyle name="ส่วนที่ถูกเน้น3 2" xfId="75" xr:uid="{00000000-0005-0000-0000-00004C000000}"/>
    <cellStyle name="ส่วนที่ถูกเน้น4" xfId="30" builtinId="41" customBuiltin="1"/>
    <cellStyle name="ส่วนที่ถูกเน้น4 2" xfId="76" xr:uid="{00000000-0005-0000-0000-00004D000000}"/>
    <cellStyle name="ส่วนที่ถูกเน้น5" xfId="34" builtinId="45" customBuiltin="1"/>
    <cellStyle name="ส่วนที่ถูกเน้น5 2" xfId="77" xr:uid="{00000000-0005-0000-0000-00004E000000}"/>
    <cellStyle name="ส่วนที่ถูกเน้น6" xfId="38" builtinId="49" customBuiltin="1"/>
    <cellStyle name="ส่วนที่ถูกเน้น6 2" xfId="78" xr:uid="{00000000-0005-0000-0000-00004F000000}"/>
    <cellStyle name="แสดงผล" xfId="10" builtinId="21" customBuiltin="1"/>
    <cellStyle name="แสดงผล 2" xfId="64" xr:uid="{00000000-0005-0000-0000-000050000000}"/>
    <cellStyle name="หมายเหตุ" xfId="15" builtinId="10" customBuiltin="1"/>
    <cellStyle name="หมายเหตุ 2" xfId="79" xr:uid="{00000000-0005-0000-0000-000051000000}"/>
    <cellStyle name="หัวเรื่อง 1" xfId="2" builtinId="16" customBuiltin="1"/>
    <cellStyle name="หัวเรื่อง 1 2" xfId="80" xr:uid="{00000000-0005-0000-0000-000052000000}"/>
    <cellStyle name="หัวเรื่อง 2" xfId="3" builtinId="17" customBuiltin="1"/>
    <cellStyle name="หัวเรื่อง 2 2" xfId="81" xr:uid="{00000000-0005-0000-0000-000053000000}"/>
    <cellStyle name="หัวเรื่อง 3" xfId="4" builtinId="18" customBuiltin="1"/>
    <cellStyle name="หัวเรื่อง 3 2" xfId="82" xr:uid="{00000000-0005-0000-0000-000054000000}"/>
    <cellStyle name="หัวเรื่อง 4" xfId="5" builtinId="19" customBuiltin="1"/>
    <cellStyle name="หัวเรื่อง 4 2" xfId="83" xr:uid="{00000000-0005-0000-0000-00005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6"/>
  <sheetViews>
    <sheetView tabSelected="1" zoomScaleNormal="100" workbookViewId="0">
      <selection activeCell="X19" sqref="X19"/>
    </sheetView>
  </sheetViews>
  <sheetFormatPr defaultColWidth="9" defaultRowHeight="15.9" customHeight="1" x14ac:dyDescent="0.25"/>
  <cols>
    <col min="1" max="1" width="3.69921875" style="76" customWidth="1"/>
    <col min="2" max="2" width="6.69921875" style="80" customWidth="1"/>
    <col min="3" max="3" width="7.19921875" style="76" customWidth="1"/>
    <col min="4" max="4" width="11" style="76" customWidth="1"/>
    <col min="5" max="5" width="13.69921875" style="76" customWidth="1"/>
    <col min="6" max="20" width="2.69921875" style="76" customWidth="1"/>
    <col min="21" max="21" width="0.59765625" customWidth="1"/>
    <col min="22" max="22" width="2.69921875" hidden="1" customWidth="1"/>
    <col min="23" max="25" width="2.69921875" customWidth="1"/>
  </cols>
  <sheetData>
    <row r="1" spans="1:29" s="84" customFormat="1" ht="15.9" customHeight="1" x14ac:dyDescent="0.6">
      <c r="A1" s="298" t="s">
        <v>1001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16"/>
      <c r="V1" s="16"/>
      <c r="W1" s="16"/>
      <c r="X1" s="16"/>
      <c r="Y1" s="16"/>
    </row>
    <row r="2" spans="1:29" s="18" customFormat="1" ht="15.9" customHeight="1" x14ac:dyDescent="0.6">
      <c r="A2" s="303" t="s">
        <v>5</v>
      </c>
      <c r="B2" s="303"/>
      <c r="C2" s="303"/>
      <c r="D2" s="82">
        <v>601</v>
      </c>
      <c r="E2" s="82" t="s">
        <v>6</v>
      </c>
      <c r="F2" s="304" t="s">
        <v>917</v>
      </c>
      <c r="G2" s="304"/>
      <c r="H2" s="304"/>
      <c r="I2" s="304"/>
      <c r="J2" s="304"/>
      <c r="K2" s="304"/>
      <c r="L2" s="304"/>
      <c r="M2" s="304"/>
      <c r="N2" s="304"/>
      <c r="O2" s="304"/>
      <c r="P2" s="83"/>
      <c r="Q2" s="83"/>
      <c r="R2" s="83"/>
      <c r="S2" s="83"/>
      <c r="T2" s="83"/>
      <c r="U2" s="16"/>
      <c r="V2" s="16"/>
      <c r="W2" s="16"/>
      <c r="X2" s="16"/>
      <c r="Y2" s="16"/>
    </row>
    <row r="3" spans="1:29" s="18" customFormat="1" ht="15.9" customHeight="1" x14ac:dyDescent="0.6">
      <c r="A3" s="297" t="s">
        <v>918</v>
      </c>
      <c r="B3" s="297"/>
      <c r="C3" s="297"/>
      <c r="D3" s="297"/>
      <c r="E3" s="297"/>
      <c r="F3" s="304" t="s">
        <v>1002</v>
      </c>
      <c r="G3" s="304"/>
      <c r="H3" s="304"/>
      <c r="I3" s="304"/>
      <c r="J3" s="304"/>
      <c r="K3" s="304"/>
      <c r="L3" s="304"/>
      <c r="M3" s="304"/>
      <c r="N3" s="304"/>
      <c r="O3" s="304"/>
      <c r="P3" s="81"/>
      <c r="Q3" s="81"/>
      <c r="R3" s="81"/>
      <c r="S3" s="81"/>
      <c r="T3" s="81"/>
      <c r="V3" s="16"/>
      <c r="W3" s="16"/>
      <c r="X3" s="16"/>
      <c r="Y3" s="16"/>
      <c r="Z3" s="85"/>
      <c r="AA3" s="85"/>
    </row>
    <row r="4" spans="1:29" s="17" customFormat="1" ht="15.9" customHeight="1" x14ac:dyDescent="0.25">
      <c r="A4" s="170" t="s">
        <v>1</v>
      </c>
      <c r="B4" s="170" t="s">
        <v>2</v>
      </c>
      <c r="C4" s="299" t="s">
        <v>3</v>
      </c>
      <c r="D4" s="300"/>
      <c r="E4" s="300"/>
      <c r="F4" s="300"/>
      <c r="G4" s="300"/>
      <c r="H4" s="300"/>
      <c r="I4" s="300"/>
      <c r="J4" s="300"/>
      <c r="K4" s="300"/>
      <c r="L4" s="300"/>
      <c r="M4" s="300"/>
      <c r="N4" s="300"/>
      <c r="O4" s="300"/>
      <c r="P4" s="300"/>
      <c r="Q4" s="300"/>
      <c r="R4" s="300"/>
      <c r="S4" s="300"/>
      <c r="T4" s="300"/>
      <c r="U4" s="305"/>
      <c r="V4" s="305"/>
      <c r="W4" s="305"/>
      <c r="X4" s="305"/>
      <c r="Y4" s="305"/>
    </row>
    <row r="5" spans="1:29" s="17" customFormat="1" ht="15.9" customHeight="1" thickBot="1" x14ac:dyDescent="0.3">
      <c r="A5" s="239" t="s">
        <v>0</v>
      </c>
      <c r="B5" s="239" t="s">
        <v>4</v>
      </c>
      <c r="C5" s="301"/>
      <c r="D5" s="302"/>
      <c r="E5" s="302"/>
      <c r="F5" s="302"/>
      <c r="G5" s="302"/>
      <c r="H5" s="302"/>
      <c r="I5" s="302"/>
      <c r="J5" s="302"/>
      <c r="K5" s="302"/>
      <c r="L5" s="302"/>
      <c r="M5" s="302"/>
      <c r="N5" s="302"/>
      <c r="O5" s="302"/>
      <c r="P5" s="302"/>
      <c r="Q5" s="302"/>
      <c r="R5" s="302"/>
      <c r="S5" s="302"/>
      <c r="T5" s="302"/>
      <c r="U5" s="305"/>
      <c r="V5" s="305"/>
      <c r="W5" s="305"/>
      <c r="X5" s="305"/>
      <c r="Y5" s="305"/>
    </row>
    <row r="6" spans="1:29" ht="15.9" customHeight="1" x14ac:dyDescent="0.6">
      <c r="A6" s="178">
        <v>1</v>
      </c>
      <c r="B6" s="29" t="s">
        <v>543</v>
      </c>
      <c r="C6" s="29" t="s">
        <v>23</v>
      </c>
      <c r="D6" s="29" t="s">
        <v>71</v>
      </c>
      <c r="E6" s="30" t="s">
        <v>72</v>
      </c>
      <c r="F6" s="184"/>
      <c r="G6" s="172"/>
      <c r="H6" s="172"/>
      <c r="I6" s="172"/>
      <c r="J6" s="172"/>
      <c r="K6" s="172"/>
      <c r="L6" s="172"/>
      <c r="M6" s="172"/>
      <c r="N6" s="172"/>
      <c r="O6" s="172"/>
      <c r="P6" s="172"/>
      <c r="Q6" s="172"/>
      <c r="R6" s="172"/>
      <c r="S6" s="172"/>
      <c r="T6" s="173"/>
      <c r="U6" s="38"/>
      <c r="V6" s="38"/>
      <c r="W6" s="38"/>
      <c r="X6" s="38"/>
      <c r="Y6" s="38"/>
    </row>
    <row r="7" spans="1:29" ht="15.9" customHeight="1" x14ac:dyDescent="0.6">
      <c r="A7" s="179">
        <v>2</v>
      </c>
      <c r="B7" s="28" t="s">
        <v>544</v>
      </c>
      <c r="C7" s="28" t="s">
        <v>23</v>
      </c>
      <c r="D7" s="28" t="s">
        <v>70</v>
      </c>
      <c r="E7" s="31" t="s">
        <v>10</v>
      </c>
      <c r="F7" s="185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174"/>
      <c r="U7" s="38"/>
      <c r="V7" s="38"/>
      <c r="W7" s="38"/>
      <c r="X7" s="38"/>
      <c r="Y7" s="38"/>
    </row>
    <row r="8" spans="1:29" ht="15.9" customHeight="1" x14ac:dyDescent="0.6">
      <c r="A8" s="179">
        <v>3</v>
      </c>
      <c r="B8" s="28" t="s">
        <v>545</v>
      </c>
      <c r="C8" s="28" t="s">
        <v>23</v>
      </c>
      <c r="D8" s="28" t="s">
        <v>76</v>
      </c>
      <c r="E8" s="31" t="s">
        <v>77</v>
      </c>
      <c r="F8" s="18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174"/>
      <c r="U8" s="38"/>
      <c r="V8" s="38"/>
      <c r="W8" s="38"/>
      <c r="X8" s="38"/>
      <c r="Y8" s="38"/>
      <c r="AB8" s="42"/>
      <c r="AC8" s="42"/>
    </row>
    <row r="9" spans="1:29" ht="15.9" customHeight="1" x14ac:dyDescent="0.6">
      <c r="A9" s="179">
        <v>4</v>
      </c>
      <c r="B9" s="28" t="s">
        <v>546</v>
      </c>
      <c r="C9" s="28" t="s">
        <v>23</v>
      </c>
      <c r="D9" s="28" t="s">
        <v>88</v>
      </c>
      <c r="E9" s="31" t="s">
        <v>89</v>
      </c>
      <c r="F9" s="185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174"/>
      <c r="U9" s="38"/>
      <c r="V9" s="38"/>
      <c r="W9" s="38"/>
      <c r="X9" s="38"/>
      <c r="Y9" s="38"/>
    </row>
    <row r="10" spans="1:29" ht="15.9" customHeight="1" thickBot="1" x14ac:dyDescent="0.65">
      <c r="A10" s="180">
        <v>5</v>
      </c>
      <c r="B10" s="20" t="s">
        <v>547</v>
      </c>
      <c r="C10" s="20" t="s">
        <v>23</v>
      </c>
      <c r="D10" s="20" t="s">
        <v>90</v>
      </c>
      <c r="E10" s="21" t="s">
        <v>91</v>
      </c>
      <c r="F10" s="186"/>
      <c r="G10" s="175"/>
      <c r="H10" s="175"/>
      <c r="I10" s="175"/>
      <c r="J10" s="175"/>
      <c r="K10" s="175"/>
      <c r="L10" s="175"/>
      <c r="M10" s="175"/>
      <c r="N10" s="175"/>
      <c r="O10" s="175"/>
      <c r="P10" s="175"/>
      <c r="Q10" s="175"/>
      <c r="R10" s="175"/>
      <c r="S10" s="175"/>
      <c r="T10" s="176"/>
      <c r="U10" s="38"/>
      <c r="V10" s="38"/>
      <c r="W10" s="38"/>
      <c r="X10" s="38"/>
      <c r="Y10" s="38"/>
    </row>
    <row r="11" spans="1:29" ht="15.9" customHeight="1" x14ac:dyDescent="0.6">
      <c r="A11" s="178">
        <v>6</v>
      </c>
      <c r="B11" s="29" t="s">
        <v>548</v>
      </c>
      <c r="C11" s="29" t="s">
        <v>23</v>
      </c>
      <c r="D11" s="29" t="s">
        <v>60</v>
      </c>
      <c r="E11" s="30" t="s">
        <v>61</v>
      </c>
      <c r="F11" s="184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3"/>
      <c r="U11" s="38"/>
      <c r="V11" s="38"/>
      <c r="W11" s="38"/>
      <c r="X11" s="38"/>
      <c r="Y11" s="38"/>
    </row>
    <row r="12" spans="1:29" ht="15.9" customHeight="1" x14ac:dyDescent="0.6">
      <c r="A12" s="179">
        <v>7</v>
      </c>
      <c r="B12" s="28" t="s">
        <v>549</v>
      </c>
      <c r="C12" s="28" t="s">
        <v>23</v>
      </c>
      <c r="D12" s="28" t="s">
        <v>50</v>
      </c>
      <c r="E12" s="31" t="s">
        <v>67</v>
      </c>
      <c r="F12" s="185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174"/>
      <c r="U12" s="38"/>
      <c r="V12" s="38"/>
      <c r="W12" s="38"/>
      <c r="X12" s="38"/>
      <c r="Y12" s="38"/>
    </row>
    <row r="13" spans="1:29" ht="15.9" customHeight="1" x14ac:dyDescent="0.6">
      <c r="A13" s="179">
        <v>8</v>
      </c>
      <c r="B13" s="28" t="s">
        <v>550</v>
      </c>
      <c r="C13" s="28" t="s">
        <v>23</v>
      </c>
      <c r="D13" s="28" t="s">
        <v>95</v>
      </c>
      <c r="E13" s="31" t="s">
        <v>96</v>
      </c>
      <c r="F13" s="18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1"/>
      <c r="R13" s="75"/>
      <c r="S13" s="75"/>
      <c r="T13" s="174"/>
      <c r="U13" s="38"/>
      <c r="V13" s="38"/>
      <c r="W13" s="38"/>
      <c r="X13" s="38"/>
      <c r="Y13" s="38"/>
    </row>
    <row r="14" spans="1:29" ht="15.9" customHeight="1" x14ac:dyDescent="0.6">
      <c r="A14" s="179">
        <v>9</v>
      </c>
      <c r="B14" s="28" t="s">
        <v>551</v>
      </c>
      <c r="C14" s="28" t="s">
        <v>23</v>
      </c>
      <c r="D14" s="28" t="s">
        <v>93</v>
      </c>
      <c r="E14" s="31" t="s">
        <v>94</v>
      </c>
      <c r="F14" s="18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174"/>
      <c r="U14" s="38"/>
      <c r="V14" s="38"/>
      <c r="W14" s="38"/>
      <c r="X14" s="38"/>
      <c r="Y14" s="38"/>
    </row>
    <row r="15" spans="1:29" ht="15.9" customHeight="1" thickBot="1" x14ac:dyDescent="0.65">
      <c r="A15" s="180">
        <v>10</v>
      </c>
      <c r="B15" s="20" t="s">
        <v>552</v>
      </c>
      <c r="C15" s="20" t="s">
        <v>24</v>
      </c>
      <c r="D15" s="20" t="s">
        <v>34</v>
      </c>
      <c r="E15" s="21" t="s">
        <v>62</v>
      </c>
      <c r="F15" s="186"/>
      <c r="G15" s="175"/>
      <c r="H15" s="175"/>
      <c r="I15" s="175"/>
      <c r="J15" s="175"/>
      <c r="K15" s="175"/>
      <c r="L15" s="175"/>
      <c r="M15" s="175"/>
      <c r="N15" s="175"/>
      <c r="O15" s="175"/>
      <c r="P15" s="175"/>
      <c r="Q15" s="175"/>
      <c r="R15" s="175"/>
      <c r="S15" s="175"/>
      <c r="T15" s="176"/>
      <c r="U15" s="38"/>
      <c r="V15" s="38"/>
      <c r="W15" s="38"/>
      <c r="X15" s="38"/>
      <c r="Y15" s="38"/>
    </row>
    <row r="16" spans="1:29" ht="15.9" customHeight="1" x14ac:dyDescent="0.6">
      <c r="A16" s="178">
        <v>11</v>
      </c>
      <c r="B16" s="29" t="s">
        <v>553</v>
      </c>
      <c r="C16" s="29" t="s">
        <v>24</v>
      </c>
      <c r="D16" s="29" t="s">
        <v>104</v>
      </c>
      <c r="E16" s="30" t="s">
        <v>105</v>
      </c>
      <c r="F16" s="184"/>
      <c r="G16" s="172"/>
      <c r="H16" s="172"/>
      <c r="I16" s="172"/>
      <c r="J16" s="172"/>
      <c r="K16" s="172"/>
      <c r="L16" s="172"/>
      <c r="M16" s="172"/>
      <c r="N16" s="172"/>
      <c r="O16" s="172"/>
      <c r="P16" s="172"/>
      <c r="Q16" s="172"/>
      <c r="R16" s="172"/>
      <c r="S16" s="172"/>
      <c r="T16" s="173"/>
      <c r="U16" s="38"/>
      <c r="V16" s="38"/>
      <c r="W16" s="38"/>
      <c r="X16" s="38"/>
      <c r="Y16" s="38"/>
    </row>
    <row r="17" spans="1:25" ht="15.9" customHeight="1" x14ac:dyDescent="0.6">
      <c r="A17" s="179">
        <v>12</v>
      </c>
      <c r="B17" s="28" t="s">
        <v>554</v>
      </c>
      <c r="C17" s="28" t="s">
        <v>24</v>
      </c>
      <c r="D17" s="28" t="s">
        <v>73</v>
      </c>
      <c r="E17" s="31" t="s">
        <v>74</v>
      </c>
      <c r="F17" s="18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174"/>
      <c r="U17" s="38"/>
      <c r="V17" s="38"/>
      <c r="W17" s="38"/>
      <c r="X17" s="38"/>
      <c r="Y17" s="38"/>
    </row>
    <row r="18" spans="1:25" ht="15.9" customHeight="1" x14ac:dyDescent="0.6">
      <c r="A18" s="179">
        <v>13</v>
      </c>
      <c r="B18" s="28" t="s">
        <v>555</v>
      </c>
      <c r="C18" s="28" t="s">
        <v>24</v>
      </c>
      <c r="D18" s="28" t="s">
        <v>556</v>
      </c>
      <c r="E18" s="31" t="s">
        <v>84</v>
      </c>
      <c r="F18" s="18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174"/>
      <c r="U18" s="38"/>
      <c r="V18" s="38"/>
      <c r="W18" s="38"/>
      <c r="X18" s="38"/>
      <c r="Y18" s="38"/>
    </row>
    <row r="19" spans="1:25" ht="15.9" customHeight="1" x14ac:dyDescent="0.6">
      <c r="A19" s="179">
        <v>14</v>
      </c>
      <c r="B19" s="28" t="s">
        <v>557</v>
      </c>
      <c r="C19" s="28" t="s">
        <v>24</v>
      </c>
      <c r="D19" s="28" t="s">
        <v>13</v>
      </c>
      <c r="E19" s="31" t="s">
        <v>92</v>
      </c>
      <c r="F19" s="18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174"/>
      <c r="U19" s="38"/>
      <c r="V19" s="38"/>
      <c r="W19" s="38"/>
      <c r="X19" s="38"/>
      <c r="Y19" s="38"/>
    </row>
    <row r="20" spans="1:25" ht="15.9" customHeight="1" thickBot="1" x14ac:dyDescent="0.65">
      <c r="A20" s="180">
        <v>15</v>
      </c>
      <c r="B20" s="20" t="s">
        <v>558</v>
      </c>
      <c r="C20" s="20" t="s">
        <v>24</v>
      </c>
      <c r="D20" s="20" t="s">
        <v>63</v>
      </c>
      <c r="E20" s="21" t="s">
        <v>64</v>
      </c>
      <c r="F20" s="186"/>
      <c r="G20" s="175"/>
      <c r="H20" s="175"/>
      <c r="I20" s="175"/>
      <c r="J20" s="175"/>
      <c r="K20" s="175"/>
      <c r="L20" s="175"/>
      <c r="M20" s="175"/>
      <c r="N20" s="175"/>
      <c r="O20" s="175"/>
      <c r="P20" s="175"/>
      <c r="Q20" s="175"/>
      <c r="R20" s="175"/>
      <c r="S20" s="175"/>
      <c r="T20" s="176"/>
      <c r="U20" s="38"/>
      <c r="V20" s="38"/>
      <c r="W20" s="38"/>
      <c r="X20" s="38"/>
      <c r="Y20" s="38"/>
    </row>
    <row r="21" spans="1:25" ht="15.9" customHeight="1" x14ac:dyDescent="0.6">
      <c r="A21" s="178">
        <v>16</v>
      </c>
      <c r="B21" s="29" t="s">
        <v>559</v>
      </c>
      <c r="C21" s="29" t="s">
        <v>24</v>
      </c>
      <c r="D21" s="29" t="s">
        <v>27</v>
      </c>
      <c r="E21" s="30" t="s">
        <v>66</v>
      </c>
      <c r="F21" s="184"/>
      <c r="G21" s="172"/>
      <c r="H21" s="172"/>
      <c r="I21" s="172"/>
      <c r="J21" s="172"/>
      <c r="K21" s="172"/>
      <c r="L21" s="172"/>
      <c r="M21" s="172"/>
      <c r="N21" s="172"/>
      <c r="O21" s="172"/>
      <c r="P21" s="172"/>
      <c r="Q21" s="172"/>
      <c r="R21" s="172"/>
      <c r="S21" s="172"/>
      <c r="T21" s="173"/>
      <c r="U21" s="38"/>
      <c r="V21" s="38"/>
      <c r="W21" s="38"/>
      <c r="X21" s="38"/>
      <c r="Y21" s="38"/>
    </row>
    <row r="22" spans="1:25" ht="15.9" customHeight="1" x14ac:dyDescent="0.6">
      <c r="A22" s="179">
        <v>17</v>
      </c>
      <c r="B22" s="28" t="s">
        <v>560</v>
      </c>
      <c r="C22" s="28" t="s">
        <v>24</v>
      </c>
      <c r="D22" s="28" t="s">
        <v>68</v>
      </c>
      <c r="E22" s="31" t="s">
        <v>69</v>
      </c>
      <c r="F22" s="18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174"/>
      <c r="U22" s="38"/>
      <c r="V22" s="38"/>
      <c r="W22" s="38"/>
      <c r="X22" s="38"/>
      <c r="Y22" s="38"/>
    </row>
    <row r="23" spans="1:25" ht="15.9" customHeight="1" x14ac:dyDescent="0.6">
      <c r="A23" s="179">
        <v>18</v>
      </c>
      <c r="B23" s="28" t="s">
        <v>561</v>
      </c>
      <c r="C23" s="28" t="s">
        <v>24</v>
      </c>
      <c r="D23" s="28" t="s">
        <v>82</v>
      </c>
      <c r="E23" s="31" t="s">
        <v>83</v>
      </c>
      <c r="F23" s="18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174"/>
      <c r="U23" s="38"/>
      <c r="V23" s="38"/>
      <c r="W23" s="38"/>
      <c r="X23" s="38"/>
      <c r="Y23" s="38"/>
    </row>
    <row r="24" spans="1:25" ht="15.9" customHeight="1" x14ac:dyDescent="0.6">
      <c r="A24" s="179">
        <v>19</v>
      </c>
      <c r="B24" s="28" t="s">
        <v>562</v>
      </c>
      <c r="C24" s="28" t="s">
        <v>24</v>
      </c>
      <c r="D24" s="28" t="s">
        <v>85</v>
      </c>
      <c r="E24" s="31" t="s">
        <v>86</v>
      </c>
      <c r="F24" s="18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174"/>
      <c r="U24" s="38"/>
      <c r="V24" s="38"/>
      <c r="W24" s="38"/>
      <c r="X24" s="38"/>
      <c r="Y24" s="38"/>
    </row>
    <row r="25" spans="1:25" ht="15.9" customHeight="1" thickBot="1" x14ac:dyDescent="0.65">
      <c r="A25" s="180">
        <v>20</v>
      </c>
      <c r="B25" s="20" t="s">
        <v>563</v>
      </c>
      <c r="C25" s="20" t="s">
        <v>24</v>
      </c>
      <c r="D25" s="20" t="s">
        <v>31</v>
      </c>
      <c r="E25" s="21" t="s">
        <v>87</v>
      </c>
      <c r="F25" s="186"/>
      <c r="G25" s="175"/>
      <c r="H25" s="175"/>
      <c r="I25" s="175"/>
      <c r="J25" s="175"/>
      <c r="K25" s="175"/>
      <c r="L25" s="175"/>
      <c r="M25" s="175"/>
      <c r="N25" s="175"/>
      <c r="O25" s="175"/>
      <c r="P25" s="175"/>
      <c r="Q25" s="175"/>
      <c r="R25" s="175"/>
      <c r="S25" s="175"/>
      <c r="T25" s="176"/>
      <c r="U25" s="38"/>
      <c r="V25" s="38"/>
      <c r="W25" s="38"/>
      <c r="X25" s="38"/>
      <c r="Y25" s="38"/>
    </row>
    <row r="26" spans="1:25" ht="15.9" customHeight="1" x14ac:dyDescent="0.6">
      <c r="A26" s="178">
        <v>21</v>
      </c>
      <c r="B26" s="29" t="s">
        <v>564</v>
      </c>
      <c r="C26" s="29" t="s">
        <v>24</v>
      </c>
      <c r="D26" s="29" t="s">
        <v>7</v>
      </c>
      <c r="E26" s="30" t="s">
        <v>101</v>
      </c>
      <c r="F26" s="184"/>
      <c r="G26" s="172"/>
      <c r="H26" s="172"/>
      <c r="I26" s="172"/>
      <c r="J26" s="172"/>
      <c r="K26" s="172"/>
      <c r="L26" s="172"/>
      <c r="M26" s="172"/>
      <c r="N26" s="172"/>
      <c r="O26" s="172"/>
      <c r="P26" s="172"/>
      <c r="Q26" s="172"/>
      <c r="R26" s="172"/>
      <c r="S26" s="172"/>
      <c r="T26" s="173"/>
      <c r="U26" s="38"/>
      <c r="V26" s="38"/>
      <c r="W26" s="38"/>
      <c r="X26" s="38"/>
      <c r="Y26" s="38"/>
    </row>
    <row r="27" spans="1:25" ht="15.9" customHeight="1" x14ac:dyDescent="0.6">
      <c r="A27" s="179">
        <v>22</v>
      </c>
      <c r="B27" s="28" t="s">
        <v>565</v>
      </c>
      <c r="C27" s="28" t="s">
        <v>24</v>
      </c>
      <c r="D27" s="28" t="s">
        <v>58</v>
      </c>
      <c r="E27" s="31" t="s">
        <v>59</v>
      </c>
      <c r="F27" s="18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174"/>
      <c r="U27" s="38"/>
      <c r="V27" s="38"/>
      <c r="W27" s="38"/>
      <c r="X27" s="38"/>
      <c r="Y27" s="38"/>
    </row>
    <row r="28" spans="1:25" ht="15.9" customHeight="1" x14ac:dyDescent="0.6">
      <c r="A28" s="179">
        <v>23</v>
      </c>
      <c r="B28" s="28" t="s">
        <v>566</v>
      </c>
      <c r="C28" s="28" t="s">
        <v>24</v>
      </c>
      <c r="D28" s="28" t="s">
        <v>25</v>
      </c>
      <c r="E28" s="31" t="s">
        <v>75</v>
      </c>
      <c r="F28" s="18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174"/>
      <c r="U28" s="38"/>
      <c r="V28" s="38"/>
      <c r="W28" s="38"/>
      <c r="X28" s="38"/>
      <c r="Y28" s="38"/>
    </row>
    <row r="29" spans="1:25" ht="15.9" customHeight="1" x14ac:dyDescent="0.6">
      <c r="A29" s="179">
        <v>24</v>
      </c>
      <c r="B29" s="28" t="s">
        <v>567</v>
      </c>
      <c r="C29" s="28" t="s">
        <v>24</v>
      </c>
      <c r="D29" s="28" t="s">
        <v>106</v>
      </c>
      <c r="E29" s="31" t="s">
        <v>107</v>
      </c>
      <c r="F29" s="18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174"/>
      <c r="U29" s="38"/>
      <c r="V29" s="38"/>
      <c r="W29" s="38"/>
      <c r="X29" s="38"/>
      <c r="Y29" s="38"/>
    </row>
    <row r="30" spans="1:25" ht="15.9" customHeight="1" thickBot="1" x14ac:dyDescent="0.65">
      <c r="A30" s="180">
        <v>25</v>
      </c>
      <c r="B30" s="20" t="s">
        <v>568</v>
      </c>
      <c r="C30" s="20" t="s">
        <v>24</v>
      </c>
      <c r="D30" s="20" t="s">
        <v>65</v>
      </c>
      <c r="E30" s="21" t="s">
        <v>18</v>
      </c>
      <c r="F30" s="186"/>
      <c r="G30" s="175"/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175"/>
      <c r="T30" s="176"/>
      <c r="U30" s="38"/>
      <c r="V30" s="38"/>
      <c r="W30" s="38"/>
      <c r="X30" s="38"/>
      <c r="Y30" s="38"/>
    </row>
    <row r="31" spans="1:25" ht="15.9" customHeight="1" x14ac:dyDescent="0.6">
      <c r="A31" s="178">
        <v>26</v>
      </c>
      <c r="B31" s="29" t="s">
        <v>569</v>
      </c>
      <c r="C31" s="29" t="s">
        <v>24</v>
      </c>
      <c r="D31" s="29" t="s">
        <v>102</v>
      </c>
      <c r="E31" s="30" t="s">
        <v>103</v>
      </c>
      <c r="F31" s="184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2"/>
      <c r="S31" s="172"/>
      <c r="T31" s="173"/>
      <c r="U31" s="38"/>
      <c r="V31" s="38"/>
      <c r="W31" s="38"/>
      <c r="X31" s="38"/>
      <c r="Y31" s="38"/>
    </row>
    <row r="32" spans="1:25" ht="15.9" customHeight="1" x14ac:dyDescent="0.6">
      <c r="A32" s="179">
        <v>27</v>
      </c>
      <c r="B32" s="28" t="s">
        <v>570</v>
      </c>
      <c r="C32" s="28" t="s">
        <v>24</v>
      </c>
      <c r="D32" s="28" t="s">
        <v>78</v>
      </c>
      <c r="E32" s="31" t="s">
        <v>79</v>
      </c>
      <c r="F32" s="18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174"/>
      <c r="U32" s="38"/>
      <c r="V32" s="38"/>
      <c r="W32" s="38"/>
      <c r="X32" s="38"/>
      <c r="Y32" s="38"/>
    </row>
    <row r="33" spans="1:25" ht="15.9" customHeight="1" x14ac:dyDescent="0.6">
      <c r="A33" s="179">
        <v>28</v>
      </c>
      <c r="B33" s="28" t="s">
        <v>571</v>
      </c>
      <c r="C33" s="28" t="s">
        <v>24</v>
      </c>
      <c r="D33" s="28" t="s">
        <v>80</v>
      </c>
      <c r="E33" s="31" t="s">
        <v>81</v>
      </c>
      <c r="F33" s="18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174"/>
      <c r="U33" s="38"/>
      <c r="V33" s="38"/>
      <c r="W33" s="38"/>
      <c r="X33" s="38"/>
      <c r="Y33" s="38"/>
    </row>
    <row r="34" spans="1:25" ht="15.9" customHeight="1" x14ac:dyDescent="0.6">
      <c r="A34" s="179">
        <v>29</v>
      </c>
      <c r="B34" s="28" t="s">
        <v>572</v>
      </c>
      <c r="C34" s="28" t="s">
        <v>24</v>
      </c>
      <c r="D34" s="28" t="s">
        <v>99</v>
      </c>
      <c r="E34" s="31" t="s">
        <v>100</v>
      </c>
      <c r="F34" s="18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174"/>
      <c r="U34" s="38"/>
      <c r="V34" s="38"/>
      <c r="W34" s="38"/>
      <c r="X34" s="38"/>
      <c r="Y34" s="38"/>
    </row>
    <row r="35" spans="1:25" ht="15.9" customHeight="1" thickBot="1" x14ac:dyDescent="0.65">
      <c r="A35" s="180">
        <v>30</v>
      </c>
      <c r="B35" s="20" t="s">
        <v>573</v>
      </c>
      <c r="C35" s="20" t="s">
        <v>24</v>
      </c>
      <c r="D35" s="20" t="s">
        <v>97</v>
      </c>
      <c r="E35" s="21" t="s">
        <v>98</v>
      </c>
      <c r="F35" s="186"/>
      <c r="G35" s="175"/>
      <c r="H35" s="175"/>
      <c r="I35" s="175"/>
      <c r="J35" s="175"/>
      <c r="K35" s="175"/>
      <c r="L35" s="175"/>
      <c r="M35" s="175"/>
      <c r="N35" s="175"/>
      <c r="O35" s="175"/>
      <c r="P35" s="175"/>
      <c r="Q35" s="175"/>
      <c r="R35" s="175"/>
      <c r="S35" s="175"/>
      <c r="T35" s="176"/>
      <c r="U35" s="38"/>
      <c r="V35" s="38"/>
      <c r="W35" s="38"/>
      <c r="X35" s="38"/>
      <c r="Y35" s="38"/>
    </row>
    <row r="36" spans="1:25" ht="15.9" customHeight="1" x14ac:dyDescent="0.6">
      <c r="A36" s="77" t="s">
        <v>20</v>
      </c>
      <c r="B36" s="78">
        <f>SUM(COUNTIF(C6:C40,{"นาย","เด็กชาย"}))</f>
        <v>9</v>
      </c>
      <c r="C36" s="79" t="s">
        <v>21</v>
      </c>
      <c r="D36" s="78">
        <f>SUM(COUNTIF(C6:C40,{"นางสาว","เด็กหญิง"}))</f>
        <v>21</v>
      </c>
      <c r="E36" s="77" t="s">
        <v>22</v>
      </c>
      <c r="F36" s="76">
        <f>B36+D36</f>
        <v>30</v>
      </c>
      <c r="U36" s="15"/>
      <c r="V36" s="15"/>
      <c r="W36" s="15"/>
      <c r="X36" s="15"/>
    </row>
  </sheetData>
  <sortState xmlns:xlrd2="http://schemas.microsoft.com/office/spreadsheetml/2017/richdata2" ref="B6:E35">
    <sortCondition ref="C6:C35"/>
    <sortCondition ref="B6:B35"/>
    <sortCondition ref="D6:D35"/>
    <sortCondition ref="E6:E35"/>
  </sortState>
  <mergeCells count="26">
    <mergeCell ref="F2:O2"/>
    <mergeCell ref="F3:O3"/>
    <mergeCell ref="W4:W5"/>
    <mergeCell ref="X4:X5"/>
    <mergeCell ref="Y4:Y5"/>
    <mergeCell ref="R4:R5"/>
    <mergeCell ref="S4:S5"/>
    <mergeCell ref="T4:T5"/>
    <mergeCell ref="U4:U5"/>
    <mergeCell ref="V4:V5"/>
    <mergeCell ref="A3:E3"/>
    <mergeCell ref="A1:T1"/>
    <mergeCell ref="C4:E5"/>
    <mergeCell ref="F4:F5"/>
    <mergeCell ref="G4:G5"/>
    <mergeCell ref="H4:H5"/>
    <mergeCell ref="I4:I5"/>
    <mergeCell ref="J4:J5"/>
    <mergeCell ref="K4:K5"/>
    <mergeCell ref="L4:L5"/>
    <mergeCell ref="M4:M5"/>
    <mergeCell ref="N4:N5"/>
    <mergeCell ref="O4:O5"/>
    <mergeCell ref="P4:P5"/>
    <mergeCell ref="Q4:Q5"/>
    <mergeCell ref="A2:C2"/>
  </mergeCells>
  <printOptions horizontalCentered="1"/>
  <pageMargins left="0.39370078740157483" right="0" top="0.39370078740157483" bottom="0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41"/>
  <sheetViews>
    <sheetView workbookViewId="0">
      <selection activeCell="AH11" sqref="AH11"/>
    </sheetView>
  </sheetViews>
  <sheetFormatPr defaultRowHeight="15.9" customHeight="1" x14ac:dyDescent="0.25"/>
  <cols>
    <col min="1" max="1" width="4.69921875" style="88" customWidth="1"/>
    <col min="2" max="2" width="7.19921875" style="121" customWidth="1"/>
    <col min="3" max="3" width="7.69921875" style="88" customWidth="1"/>
    <col min="4" max="4" width="12.8984375" style="88" customWidth="1"/>
    <col min="5" max="5" width="14.69921875" style="88" customWidth="1"/>
    <col min="6" max="20" width="2.69921875" style="88" customWidth="1"/>
    <col min="21" max="25" width="2.69921875" style="88" hidden="1" customWidth="1"/>
    <col min="26" max="27" width="0" style="88" hidden="1" customWidth="1"/>
    <col min="28" max="28" width="9" style="88"/>
  </cols>
  <sheetData>
    <row r="1" spans="1:28" ht="15.9" customHeight="1" x14ac:dyDescent="0.25">
      <c r="A1" s="298" t="s">
        <v>1001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105"/>
      <c r="V1" s="105"/>
      <c r="W1" s="105"/>
      <c r="X1" s="105"/>
      <c r="Y1" s="105"/>
    </row>
    <row r="2" spans="1:28" s="19" customFormat="1" ht="15.9" customHeight="1" x14ac:dyDescent="0.3">
      <c r="A2" s="303" t="s">
        <v>5</v>
      </c>
      <c r="B2" s="303"/>
      <c r="C2" s="303"/>
      <c r="D2" s="82">
        <v>602</v>
      </c>
      <c r="E2" s="82" t="s">
        <v>6</v>
      </c>
      <c r="F2" s="304" t="s">
        <v>926</v>
      </c>
      <c r="G2" s="304"/>
      <c r="H2" s="304"/>
      <c r="I2" s="304"/>
      <c r="J2" s="304"/>
      <c r="K2" s="304"/>
      <c r="L2" s="304"/>
      <c r="M2" s="304"/>
      <c r="N2" s="304"/>
      <c r="O2" s="304"/>
      <c r="P2" s="83"/>
      <c r="Q2" s="83"/>
      <c r="R2" s="83"/>
      <c r="S2" s="83"/>
      <c r="T2" s="83"/>
      <c r="U2" s="105"/>
      <c r="V2" s="105"/>
      <c r="W2" s="105"/>
      <c r="X2" s="105"/>
      <c r="Y2" s="105"/>
      <c r="Z2" s="88"/>
      <c r="AA2" s="88"/>
      <c r="AB2" s="88"/>
    </row>
    <row r="3" spans="1:28" s="19" customFormat="1" ht="15.9" customHeight="1" thickBot="1" x14ac:dyDescent="0.35">
      <c r="A3" s="74"/>
      <c r="B3" s="304" t="s">
        <v>919</v>
      </c>
      <c r="C3" s="304"/>
      <c r="D3" s="304"/>
      <c r="E3" s="83"/>
      <c r="F3" s="304" t="s">
        <v>927</v>
      </c>
      <c r="G3" s="304"/>
      <c r="H3" s="304"/>
      <c r="I3" s="304"/>
      <c r="J3" s="304"/>
      <c r="K3" s="304"/>
      <c r="L3" s="304"/>
      <c r="M3" s="304"/>
      <c r="N3" s="304"/>
      <c r="O3" s="304"/>
      <c r="P3" s="83"/>
      <c r="Q3" s="83"/>
      <c r="R3" s="83"/>
      <c r="S3" s="83"/>
      <c r="T3" s="83"/>
      <c r="U3" s="105"/>
      <c r="V3" s="105"/>
      <c r="W3" s="105"/>
      <c r="X3" s="105"/>
      <c r="Y3" s="105"/>
      <c r="Z3" s="88"/>
      <c r="AA3" s="88"/>
      <c r="AB3" s="88"/>
    </row>
    <row r="4" spans="1:28" s="86" customFormat="1" ht="15.9" customHeight="1" x14ac:dyDescent="0.25">
      <c r="A4" s="280" t="s">
        <v>1</v>
      </c>
      <c r="B4" s="276" t="s">
        <v>2</v>
      </c>
      <c r="C4" s="306" t="s">
        <v>3</v>
      </c>
      <c r="D4" s="306"/>
      <c r="E4" s="307"/>
      <c r="F4" s="310"/>
      <c r="G4" s="306"/>
      <c r="H4" s="306"/>
      <c r="I4" s="306"/>
      <c r="J4" s="306"/>
      <c r="K4" s="306"/>
      <c r="L4" s="306"/>
      <c r="M4" s="306"/>
      <c r="N4" s="306"/>
      <c r="O4" s="306"/>
      <c r="P4" s="306"/>
      <c r="Q4" s="306"/>
      <c r="R4" s="306"/>
      <c r="S4" s="306"/>
      <c r="T4" s="307"/>
      <c r="U4" s="316"/>
      <c r="V4" s="314"/>
      <c r="W4" s="314"/>
      <c r="X4" s="314"/>
      <c r="Y4" s="312"/>
      <c r="Z4" s="88"/>
      <c r="AA4" s="88"/>
      <c r="AB4" s="88"/>
    </row>
    <row r="5" spans="1:28" s="86" customFormat="1" ht="15.9" customHeight="1" thickBot="1" x14ac:dyDescent="0.3">
      <c r="A5" s="281" t="s">
        <v>0</v>
      </c>
      <c r="B5" s="277" t="s">
        <v>4</v>
      </c>
      <c r="C5" s="308"/>
      <c r="D5" s="308"/>
      <c r="E5" s="309"/>
      <c r="F5" s="311"/>
      <c r="G5" s="308"/>
      <c r="H5" s="308"/>
      <c r="I5" s="308"/>
      <c r="J5" s="308"/>
      <c r="K5" s="308"/>
      <c r="L5" s="308"/>
      <c r="M5" s="308"/>
      <c r="N5" s="308"/>
      <c r="O5" s="308"/>
      <c r="P5" s="308"/>
      <c r="Q5" s="308"/>
      <c r="R5" s="308"/>
      <c r="S5" s="308"/>
      <c r="T5" s="309"/>
      <c r="U5" s="317"/>
      <c r="V5" s="315"/>
      <c r="W5" s="315"/>
      <c r="X5" s="315"/>
      <c r="Y5" s="313"/>
      <c r="Z5" s="88"/>
      <c r="AA5" s="88"/>
      <c r="AB5" s="88"/>
    </row>
    <row r="6" spans="1:28" ht="15.9" customHeight="1" x14ac:dyDescent="0.25">
      <c r="A6" s="197">
        <v>1</v>
      </c>
      <c r="B6" s="29" t="s">
        <v>574</v>
      </c>
      <c r="C6" s="29" t="s">
        <v>23</v>
      </c>
      <c r="D6" s="29" t="s">
        <v>110</v>
      </c>
      <c r="E6" s="30" t="s">
        <v>111</v>
      </c>
      <c r="F6" s="200"/>
      <c r="G6" s="108"/>
      <c r="H6" s="108"/>
      <c r="I6" s="108"/>
      <c r="J6" s="108"/>
      <c r="K6" s="108"/>
      <c r="L6" s="108"/>
      <c r="M6" s="108"/>
      <c r="N6" s="108"/>
      <c r="O6" s="108"/>
      <c r="P6" s="108"/>
      <c r="Q6" s="108"/>
      <c r="R6" s="108"/>
      <c r="S6" s="108"/>
      <c r="T6" s="109"/>
      <c r="U6" s="107"/>
      <c r="V6" s="108"/>
      <c r="W6" s="108"/>
      <c r="X6" s="108"/>
      <c r="Y6" s="109"/>
      <c r="AB6"/>
    </row>
    <row r="7" spans="1:28" ht="15.9" customHeight="1" x14ac:dyDescent="0.25">
      <c r="A7" s="198">
        <v>2</v>
      </c>
      <c r="B7" s="28" t="s">
        <v>575</v>
      </c>
      <c r="C7" s="28" t="s">
        <v>23</v>
      </c>
      <c r="D7" s="28" t="s">
        <v>51</v>
      </c>
      <c r="E7" s="31" t="s">
        <v>112</v>
      </c>
      <c r="F7" s="205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11"/>
      <c r="U7" s="110"/>
      <c r="V7" s="106"/>
      <c r="W7" s="106"/>
      <c r="X7" s="106"/>
      <c r="Y7" s="111"/>
      <c r="AB7"/>
    </row>
    <row r="8" spans="1:28" ht="15.9" customHeight="1" x14ac:dyDescent="0.25">
      <c r="A8" s="198">
        <v>3</v>
      </c>
      <c r="B8" s="28" t="s">
        <v>576</v>
      </c>
      <c r="C8" s="28" t="s">
        <v>23</v>
      </c>
      <c r="D8" s="28" t="s">
        <v>114</v>
      </c>
      <c r="E8" s="31" t="s">
        <v>115</v>
      </c>
      <c r="F8" s="205"/>
      <c r="G8" s="106"/>
      <c r="H8" s="106"/>
      <c r="I8" s="106"/>
      <c r="J8" s="106"/>
      <c r="K8" s="106"/>
      <c r="L8" s="106"/>
      <c r="M8" s="106"/>
      <c r="N8" s="106"/>
      <c r="O8" s="106"/>
      <c r="P8" s="106"/>
      <c r="Q8" s="106"/>
      <c r="R8" s="106"/>
      <c r="S8" s="106"/>
      <c r="T8" s="111"/>
      <c r="U8" s="110"/>
      <c r="V8" s="106"/>
      <c r="W8" s="106"/>
      <c r="X8" s="106"/>
      <c r="Y8" s="111"/>
      <c r="AA8" s="95"/>
      <c r="AB8"/>
    </row>
    <row r="9" spans="1:28" ht="15.9" customHeight="1" x14ac:dyDescent="0.25">
      <c r="A9" s="198">
        <v>4</v>
      </c>
      <c r="B9" s="28" t="s">
        <v>577</v>
      </c>
      <c r="C9" s="28" t="s">
        <v>23</v>
      </c>
      <c r="D9" s="28" t="s">
        <v>119</v>
      </c>
      <c r="E9" s="31" t="s">
        <v>120</v>
      </c>
      <c r="F9" s="201"/>
      <c r="G9" s="106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11"/>
      <c r="U9" s="110"/>
      <c r="V9" s="106"/>
      <c r="W9" s="106"/>
      <c r="X9" s="106"/>
      <c r="Y9" s="111"/>
      <c r="AA9" s="95"/>
      <c r="AB9"/>
    </row>
    <row r="10" spans="1:28" ht="15.9" customHeight="1" thickBot="1" x14ac:dyDescent="0.3">
      <c r="A10" s="199">
        <v>5</v>
      </c>
      <c r="B10" s="20" t="s">
        <v>578</v>
      </c>
      <c r="C10" s="20" t="s">
        <v>23</v>
      </c>
      <c r="D10" s="20" t="s">
        <v>579</v>
      </c>
      <c r="E10" s="21" t="s">
        <v>118</v>
      </c>
      <c r="F10" s="206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4"/>
      <c r="U10" s="110"/>
      <c r="V10" s="106"/>
      <c r="W10" s="106"/>
      <c r="X10" s="106"/>
      <c r="Y10" s="111"/>
      <c r="AB10"/>
    </row>
    <row r="11" spans="1:28" ht="15.9" customHeight="1" thickBot="1" x14ac:dyDescent="0.3">
      <c r="A11" s="197">
        <v>6</v>
      </c>
      <c r="B11" s="29" t="s">
        <v>580</v>
      </c>
      <c r="C11" s="29" t="s">
        <v>23</v>
      </c>
      <c r="D11" s="29" t="s">
        <v>116</v>
      </c>
      <c r="E11" s="30" t="s">
        <v>117</v>
      </c>
      <c r="F11" s="207"/>
      <c r="G11" s="108"/>
      <c r="H11" s="108"/>
      <c r="I11" s="108"/>
      <c r="J11" s="108"/>
      <c r="K11" s="108"/>
      <c r="L11" s="108"/>
      <c r="M11" s="108"/>
      <c r="N11" s="108"/>
      <c r="O11" s="108"/>
      <c r="P11" s="108"/>
      <c r="Q11" s="108"/>
      <c r="R11" s="108"/>
      <c r="S11" s="108"/>
      <c r="T11" s="109"/>
      <c r="U11" s="112"/>
      <c r="V11" s="113"/>
      <c r="W11" s="113"/>
      <c r="X11" s="113"/>
      <c r="Y11" s="114"/>
      <c r="AB11"/>
    </row>
    <row r="12" spans="1:28" ht="15.9" customHeight="1" x14ac:dyDescent="0.25">
      <c r="A12" s="198">
        <v>7</v>
      </c>
      <c r="B12" s="28" t="s">
        <v>581</v>
      </c>
      <c r="C12" s="28" t="s">
        <v>23</v>
      </c>
      <c r="D12" s="28" t="s">
        <v>108</v>
      </c>
      <c r="E12" s="31" t="s">
        <v>109</v>
      </c>
      <c r="F12" s="201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11"/>
      <c r="U12" s="115"/>
      <c r="V12" s="116"/>
      <c r="W12" s="116"/>
      <c r="X12" s="116"/>
      <c r="Y12" s="117"/>
      <c r="AB12"/>
    </row>
    <row r="13" spans="1:28" ht="15.9" customHeight="1" x14ac:dyDescent="0.25">
      <c r="A13" s="198">
        <v>8</v>
      </c>
      <c r="B13" s="28" t="s">
        <v>582</v>
      </c>
      <c r="C13" s="28" t="s">
        <v>23</v>
      </c>
      <c r="D13" s="28" t="s">
        <v>583</v>
      </c>
      <c r="E13" s="31" t="s">
        <v>113</v>
      </c>
      <c r="F13" s="205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11"/>
      <c r="U13" s="110"/>
      <c r="V13" s="106"/>
      <c r="W13" s="106"/>
      <c r="X13" s="106"/>
      <c r="Y13" s="111"/>
      <c r="AB13"/>
    </row>
    <row r="14" spans="1:28" ht="15.9" customHeight="1" x14ac:dyDescent="0.25">
      <c r="A14" s="198">
        <v>9</v>
      </c>
      <c r="B14" s="28" t="s">
        <v>584</v>
      </c>
      <c r="C14" s="28" t="s">
        <v>23</v>
      </c>
      <c r="D14" s="28" t="s">
        <v>121</v>
      </c>
      <c r="E14" s="31" t="s">
        <v>122</v>
      </c>
      <c r="F14" s="205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87"/>
      <c r="R14" s="106"/>
      <c r="S14" s="106"/>
      <c r="T14" s="111"/>
      <c r="U14" s="110"/>
      <c r="W14" s="106"/>
      <c r="X14" s="106"/>
      <c r="Y14" s="111"/>
      <c r="AB14"/>
    </row>
    <row r="15" spans="1:28" ht="15.9" customHeight="1" thickBot="1" x14ac:dyDescent="0.3">
      <c r="A15" s="199">
        <v>10</v>
      </c>
      <c r="B15" s="20" t="s">
        <v>585</v>
      </c>
      <c r="C15" s="20" t="s">
        <v>24</v>
      </c>
      <c r="D15" s="20" t="s">
        <v>26</v>
      </c>
      <c r="E15" s="21" t="s">
        <v>132</v>
      </c>
      <c r="F15" s="112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4"/>
      <c r="U15" s="110"/>
      <c r="V15" s="106"/>
      <c r="W15" s="106"/>
      <c r="X15" s="106"/>
      <c r="Y15" s="111"/>
      <c r="AB15"/>
    </row>
    <row r="16" spans="1:28" ht="15.9" customHeight="1" thickBot="1" x14ac:dyDescent="0.3">
      <c r="A16" s="197">
        <v>11</v>
      </c>
      <c r="B16" s="29" t="s">
        <v>586</v>
      </c>
      <c r="C16" s="29" t="s">
        <v>24</v>
      </c>
      <c r="D16" s="29" t="s">
        <v>148</v>
      </c>
      <c r="E16" s="30" t="s">
        <v>149</v>
      </c>
      <c r="F16" s="107"/>
      <c r="G16" s="108"/>
      <c r="H16" s="108"/>
      <c r="I16" s="108"/>
      <c r="J16" s="108"/>
      <c r="K16" s="108"/>
      <c r="L16" s="108"/>
      <c r="M16" s="108"/>
      <c r="N16" s="108"/>
      <c r="O16" s="108"/>
      <c r="P16" s="108"/>
      <c r="Q16" s="108"/>
      <c r="R16" s="108"/>
      <c r="S16" s="108"/>
      <c r="T16" s="109"/>
      <c r="U16" s="112"/>
      <c r="V16" s="113"/>
      <c r="W16" s="113"/>
      <c r="X16" s="113"/>
      <c r="Y16" s="114"/>
      <c r="AB16"/>
    </row>
    <row r="17" spans="1:28" ht="15.9" customHeight="1" x14ac:dyDescent="0.25">
      <c r="A17" s="198">
        <v>12</v>
      </c>
      <c r="B17" s="28" t="s">
        <v>587</v>
      </c>
      <c r="C17" s="28" t="s">
        <v>24</v>
      </c>
      <c r="D17" s="28" t="s">
        <v>150</v>
      </c>
      <c r="E17" s="31" t="s">
        <v>151</v>
      </c>
      <c r="F17" s="110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11"/>
      <c r="U17" s="115"/>
      <c r="V17" s="116"/>
      <c r="W17" s="116"/>
      <c r="X17" s="116"/>
      <c r="Y17" s="117"/>
      <c r="AB17"/>
    </row>
    <row r="18" spans="1:28" ht="15.9" customHeight="1" x14ac:dyDescent="0.25">
      <c r="A18" s="198">
        <v>13</v>
      </c>
      <c r="B18" s="28" t="s">
        <v>588</v>
      </c>
      <c r="C18" s="28" t="s">
        <v>24</v>
      </c>
      <c r="D18" s="28" t="s">
        <v>35</v>
      </c>
      <c r="E18" s="31" t="s">
        <v>123</v>
      </c>
      <c r="F18" s="110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11"/>
      <c r="U18" s="110"/>
      <c r="V18" s="106"/>
      <c r="W18" s="106"/>
      <c r="X18" s="106"/>
      <c r="Y18" s="111"/>
      <c r="AB18"/>
    </row>
    <row r="19" spans="1:28" ht="15.9" customHeight="1" x14ac:dyDescent="0.25">
      <c r="A19" s="198">
        <v>14</v>
      </c>
      <c r="B19" s="28" t="s">
        <v>589</v>
      </c>
      <c r="C19" s="28" t="s">
        <v>24</v>
      </c>
      <c r="D19" s="28" t="s">
        <v>142</v>
      </c>
      <c r="E19" s="31" t="s">
        <v>143</v>
      </c>
      <c r="F19" s="110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11"/>
      <c r="U19" s="110"/>
      <c r="V19" s="106"/>
      <c r="W19" s="106"/>
      <c r="X19" s="106"/>
      <c r="Y19" s="111"/>
      <c r="AB19"/>
    </row>
    <row r="20" spans="1:28" ht="15.9" customHeight="1" thickBot="1" x14ac:dyDescent="0.3">
      <c r="A20" s="199">
        <v>15</v>
      </c>
      <c r="B20" s="20" t="s">
        <v>590</v>
      </c>
      <c r="C20" s="20" t="s">
        <v>24</v>
      </c>
      <c r="D20" s="20" t="s">
        <v>141</v>
      </c>
      <c r="E20" s="21" t="s">
        <v>115</v>
      </c>
      <c r="F20" s="112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4"/>
      <c r="U20" s="110"/>
      <c r="V20" s="106"/>
      <c r="W20" s="106"/>
      <c r="X20" s="106"/>
      <c r="Y20" s="111"/>
      <c r="AB20"/>
    </row>
    <row r="21" spans="1:28" ht="15.9" customHeight="1" thickBot="1" x14ac:dyDescent="0.3">
      <c r="A21" s="197">
        <v>16</v>
      </c>
      <c r="B21" s="29" t="s">
        <v>591</v>
      </c>
      <c r="C21" s="29" t="s">
        <v>24</v>
      </c>
      <c r="D21" s="29" t="s">
        <v>124</v>
      </c>
      <c r="E21" s="30" t="s">
        <v>125</v>
      </c>
      <c r="F21" s="107"/>
      <c r="G21" s="108"/>
      <c r="H21" s="108"/>
      <c r="I21" s="108"/>
      <c r="J21" s="108"/>
      <c r="K21" s="108"/>
      <c r="L21" s="108"/>
      <c r="M21" s="108"/>
      <c r="N21" s="108"/>
      <c r="O21" s="108"/>
      <c r="P21" s="108"/>
      <c r="Q21" s="108"/>
      <c r="R21" s="108"/>
      <c r="S21" s="108"/>
      <c r="T21" s="109"/>
      <c r="U21" s="112"/>
      <c r="V21" s="113"/>
      <c r="W21" s="113"/>
      <c r="X21" s="113"/>
      <c r="Y21" s="114"/>
      <c r="AB21"/>
    </row>
    <row r="22" spans="1:28" ht="15.9" customHeight="1" x14ac:dyDescent="0.25">
      <c r="A22" s="198">
        <v>17</v>
      </c>
      <c r="B22" s="28" t="s">
        <v>592</v>
      </c>
      <c r="C22" s="28" t="s">
        <v>24</v>
      </c>
      <c r="D22" s="28" t="s">
        <v>126</v>
      </c>
      <c r="E22" s="31" t="s">
        <v>127</v>
      </c>
      <c r="F22" s="110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11"/>
      <c r="U22" s="107"/>
      <c r="V22" s="108"/>
      <c r="W22" s="108"/>
      <c r="X22" s="108"/>
      <c r="Y22" s="109"/>
      <c r="AB22"/>
    </row>
    <row r="23" spans="1:28" ht="15.9" customHeight="1" x14ac:dyDescent="0.25">
      <c r="A23" s="198">
        <v>18</v>
      </c>
      <c r="B23" s="28" t="s">
        <v>593</v>
      </c>
      <c r="C23" s="28" t="s">
        <v>24</v>
      </c>
      <c r="D23" s="28" t="s">
        <v>133</v>
      </c>
      <c r="E23" s="31" t="s">
        <v>134</v>
      </c>
      <c r="F23" s="110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11"/>
      <c r="U23" s="110"/>
      <c r="V23" s="106"/>
      <c r="W23" s="106"/>
      <c r="X23" s="106"/>
      <c r="Y23" s="111"/>
      <c r="AB23"/>
    </row>
    <row r="24" spans="1:28" ht="15.9" customHeight="1" x14ac:dyDescent="0.25">
      <c r="A24" s="198">
        <v>19</v>
      </c>
      <c r="B24" s="28" t="s">
        <v>594</v>
      </c>
      <c r="C24" s="28" t="s">
        <v>24</v>
      </c>
      <c r="D24" s="28" t="s">
        <v>29</v>
      </c>
      <c r="E24" s="31" t="s">
        <v>135</v>
      </c>
      <c r="F24" s="110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6"/>
      <c r="R24" s="106"/>
      <c r="S24" s="106"/>
      <c r="T24" s="111"/>
      <c r="U24" s="110"/>
      <c r="V24" s="106"/>
      <c r="W24" s="106"/>
      <c r="X24" s="106"/>
      <c r="Y24" s="111"/>
      <c r="AB24"/>
    </row>
    <row r="25" spans="1:28" ht="15.9" customHeight="1" thickBot="1" x14ac:dyDescent="0.3">
      <c r="A25" s="199">
        <v>20</v>
      </c>
      <c r="B25" s="20" t="s">
        <v>595</v>
      </c>
      <c r="C25" s="20" t="s">
        <v>24</v>
      </c>
      <c r="D25" s="20" t="s">
        <v>136</v>
      </c>
      <c r="E25" s="21" t="s">
        <v>137</v>
      </c>
      <c r="F25" s="112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4"/>
      <c r="U25" s="110"/>
      <c r="V25" s="106"/>
      <c r="W25" s="106"/>
      <c r="X25" s="106"/>
      <c r="Y25" s="111"/>
      <c r="AB25"/>
    </row>
    <row r="26" spans="1:28" ht="15.9" customHeight="1" thickBot="1" x14ac:dyDescent="0.3">
      <c r="A26" s="197">
        <v>21</v>
      </c>
      <c r="B26" s="29" t="s">
        <v>596</v>
      </c>
      <c r="C26" s="29" t="s">
        <v>24</v>
      </c>
      <c r="D26" s="29" t="s">
        <v>146</v>
      </c>
      <c r="E26" s="30" t="s">
        <v>147</v>
      </c>
      <c r="F26" s="107"/>
      <c r="G26" s="108"/>
      <c r="H26" s="108"/>
      <c r="I26" s="108"/>
      <c r="J26" s="108"/>
      <c r="K26" s="108"/>
      <c r="L26" s="108"/>
      <c r="M26" s="108"/>
      <c r="N26" s="108"/>
      <c r="O26" s="108"/>
      <c r="P26" s="108"/>
      <c r="Q26" s="108"/>
      <c r="R26" s="108"/>
      <c r="S26" s="108"/>
      <c r="T26" s="109"/>
      <c r="U26" s="112"/>
      <c r="V26" s="113"/>
      <c r="W26" s="113"/>
      <c r="X26" s="113"/>
      <c r="Y26" s="114"/>
      <c r="AB26"/>
    </row>
    <row r="27" spans="1:28" ht="15.9" customHeight="1" x14ac:dyDescent="0.25">
      <c r="A27" s="198">
        <v>22</v>
      </c>
      <c r="B27" s="28" t="s">
        <v>597</v>
      </c>
      <c r="C27" s="28" t="s">
        <v>24</v>
      </c>
      <c r="D27" s="28" t="s">
        <v>154</v>
      </c>
      <c r="E27" s="31" t="s">
        <v>155</v>
      </c>
      <c r="F27" s="110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11"/>
      <c r="U27" s="107"/>
      <c r="V27" s="108"/>
      <c r="W27" s="108"/>
      <c r="X27" s="108"/>
      <c r="Y27" s="109"/>
      <c r="AB27"/>
    </row>
    <row r="28" spans="1:28" ht="15.9" customHeight="1" x14ac:dyDescent="0.25">
      <c r="A28" s="198">
        <v>23</v>
      </c>
      <c r="B28" s="28" t="s">
        <v>598</v>
      </c>
      <c r="C28" s="28" t="s">
        <v>24</v>
      </c>
      <c r="D28" s="28" t="s">
        <v>138</v>
      </c>
      <c r="E28" s="31" t="s">
        <v>139</v>
      </c>
      <c r="F28" s="110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11"/>
      <c r="U28" s="110"/>
      <c r="V28" s="106"/>
      <c r="W28" s="106"/>
      <c r="X28" s="106"/>
      <c r="Y28" s="111"/>
      <c r="AB28"/>
    </row>
    <row r="29" spans="1:28" ht="15.9" customHeight="1" x14ac:dyDescent="0.25">
      <c r="A29" s="198">
        <v>24</v>
      </c>
      <c r="B29" s="28" t="s">
        <v>599</v>
      </c>
      <c r="C29" s="28" t="s">
        <v>24</v>
      </c>
      <c r="D29" s="28" t="s">
        <v>128</v>
      </c>
      <c r="E29" s="31" t="s">
        <v>129</v>
      </c>
      <c r="F29" s="110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6"/>
      <c r="T29" s="111"/>
      <c r="U29" s="110"/>
      <c r="V29" s="106"/>
      <c r="W29" s="106"/>
      <c r="X29" s="106"/>
      <c r="Y29" s="111"/>
      <c r="AB29"/>
    </row>
    <row r="30" spans="1:28" ht="15.9" customHeight="1" thickBot="1" x14ac:dyDescent="0.3">
      <c r="A30" s="199">
        <v>25</v>
      </c>
      <c r="B30" s="20" t="s">
        <v>600</v>
      </c>
      <c r="C30" s="20" t="s">
        <v>24</v>
      </c>
      <c r="D30" s="20" t="s">
        <v>130</v>
      </c>
      <c r="E30" s="21" t="s">
        <v>131</v>
      </c>
      <c r="F30" s="112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4"/>
      <c r="U30" s="110"/>
      <c r="V30" s="106"/>
      <c r="W30" s="106"/>
      <c r="X30" s="106"/>
      <c r="Y30" s="111"/>
      <c r="AB30"/>
    </row>
    <row r="31" spans="1:28" ht="15.9" customHeight="1" thickBot="1" x14ac:dyDescent="0.3">
      <c r="A31" s="197">
        <v>26</v>
      </c>
      <c r="B31" s="29" t="s">
        <v>601</v>
      </c>
      <c r="C31" s="29" t="s">
        <v>24</v>
      </c>
      <c r="D31" s="29" t="s">
        <v>82</v>
      </c>
      <c r="E31" s="30" t="s">
        <v>140</v>
      </c>
      <c r="F31" s="107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9"/>
      <c r="U31" s="112"/>
      <c r="V31" s="113"/>
      <c r="W31" s="113"/>
      <c r="X31" s="113"/>
      <c r="Y31" s="114"/>
      <c r="AB31"/>
    </row>
    <row r="32" spans="1:28" ht="15.9" customHeight="1" x14ac:dyDescent="0.25">
      <c r="A32" s="198">
        <v>27</v>
      </c>
      <c r="B32" s="28" t="s">
        <v>602</v>
      </c>
      <c r="C32" s="28" t="s">
        <v>24</v>
      </c>
      <c r="D32" s="28" t="s">
        <v>144</v>
      </c>
      <c r="E32" s="31" t="s">
        <v>145</v>
      </c>
      <c r="F32" s="110"/>
      <c r="G32" s="106"/>
      <c r="H32" s="106"/>
      <c r="I32" s="106"/>
      <c r="J32" s="106"/>
      <c r="K32" s="106"/>
      <c r="L32" s="106"/>
      <c r="M32" s="106"/>
      <c r="N32" s="106"/>
      <c r="O32" s="106"/>
      <c r="P32" s="106"/>
      <c r="Q32" s="106"/>
      <c r="R32" s="106"/>
      <c r="S32" s="106"/>
      <c r="T32" s="111"/>
      <c r="U32" s="115"/>
      <c r="V32" s="116"/>
      <c r="W32" s="116"/>
      <c r="X32" s="116"/>
      <c r="Y32" s="117"/>
      <c r="AB32"/>
    </row>
    <row r="33" spans="1:28" ht="15.9" customHeight="1" x14ac:dyDescent="0.25">
      <c r="A33" s="198">
        <v>28</v>
      </c>
      <c r="B33" s="28" t="s">
        <v>603</v>
      </c>
      <c r="C33" s="28" t="s">
        <v>24</v>
      </c>
      <c r="D33" s="28" t="s">
        <v>152</v>
      </c>
      <c r="E33" s="31" t="s">
        <v>153</v>
      </c>
      <c r="F33" s="110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6"/>
      <c r="S33" s="106"/>
      <c r="T33" s="111"/>
      <c r="U33" s="110"/>
      <c r="V33" s="106"/>
      <c r="W33" s="106"/>
      <c r="X33" s="106"/>
      <c r="Y33" s="111"/>
      <c r="AB33"/>
    </row>
    <row r="34" spans="1:28" ht="15.9" customHeight="1" x14ac:dyDescent="0.25">
      <c r="A34" s="198">
        <v>29</v>
      </c>
      <c r="B34" s="28" t="s">
        <v>604</v>
      </c>
      <c r="C34" s="28" t="s">
        <v>24</v>
      </c>
      <c r="D34" s="28" t="s">
        <v>158</v>
      </c>
      <c r="E34" s="31" t="s">
        <v>159</v>
      </c>
      <c r="F34" s="110"/>
      <c r="G34" s="106"/>
      <c r="H34" s="106"/>
      <c r="I34" s="106"/>
      <c r="J34" s="106"/>
      <c r="K34" s="106"/>
      <c r="L34" s="106"/>
      <c r="M34" s="106"/>
      <c r="N34" s="106"/>
      <c r="O34" s="106"/>
      <c r="P34" s="106"/>
      <c r="Q34" s="106"/>
      <c r="R34" s="106"/>
      <c r="S34" s="106"/>
      <c r="T34" s="111"/>
      <c r="U34" s="110"/>
      <c r="V34" s="106"/>
      <c r="W34" s="106"/>
      <c r="X34" s="106"/>
      <c r="Y34" s="111"/>
      <c r="AB34"/>
    </row>
    <row r="35" spans="1:28" ht="15.9" customHeight="1" thickBot="1" x14ac:dyDescent="0.3">
      <c r="A35" s="199">
        <v>30</v>
      </c>
      <c r="B35" s="20" t="s">
        <v>605</v>
      </c>
      <c r="C35" s="20" t="s">
        <v>24</v>
      </c>
      <c r="D35" s="20" t="s">
        <v>162</v>
      </c>
      <c r="E35" s="21" t="s">
        <v>163</v>
      </c>
      <c r="F35" s="112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4"/>
      <c r="U35" s="110"/>
      <c r="V35" s="106"/>
      <c r="W35" s="106"/>
      <c r="X35" s="106"/>
      <c r="Y35" s="111"/>
      <c r="AB35"/>
    </row>
    <row r="36" spans="1:28" ht="15.9" customHeight="1" thickBot="1" x14ac:dyDescent="0.3">
      <c r="A36" s="197">
        <v>31</v>
      </c>
      <c r="B36" s="29" t="s">
        <v>606</v>
      </c>
      <c r="C36" s="29" t="s">
        <v>24</v>
      </c>
      <c r="D36" s="29" t="s">
        <v>160</v>
      </c>
      <c r="E36" s="30" t="s">
        <v>161</v>
      </c>
      <c r="F36" s="107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8"/>
      <c r="S36" s="108"/>
      <c r="T36" s="109"/>
      <c r="U36" s="112"/>
      <c r="V36" s="113"/>
      <c r="W36" s="113"/>
      <c r="X36" s="113"/>
      <c r="Y36" s="114"/>
      <c r="AB36"/>
    </row>
    <row r="37" spans="1:28" ht="15.9" customHeight="1" x14ac:dyDescent="0.25">
      <c r="A37" s="198">
        <v>32</v>
      </c>
      <c r="B37" s="28" t="s">
        <v>607</v>
      </c>
      <c r="C37" s="28" t="s">
        <v>24</v>
      </c>
      <c r="D37" s="28" t="s">
        <v>156</v>
      </c>
      <c r="E37" s="31" t="s">
        <v>157</v>
      </c>
      <c r="F37" s="110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11"/>
      <c r="U37" s="115"/>
      <c r="V37" s="116"/>
      <c r="W37" s="116"/>
      <c r="X37" s="116"/>
      <c r="Y37" s="117"/>
      <c r="AB37"/>
    </row>
    <row r="38" spans="1:28" ht="15.9" customHeight="1" x14ac:dyDescent="0.25">
      <c r="A38" s="198"/>
      <c r="B38" s="28"/>
      <c r="C38" s="28"/>
      <c r="D38" s="28"/>
      <c r="E38" s="31"/>
      <c r="F38" s="110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11"/>
      <c r="U38" s="110"/>
      <c r="V38" s="106"/>
      <c r="W38" s="106"/>
      <c r="X38" s="106"/>
      <c r="Y38" s="111"/>
    </row>
    <row r="39" spans="1:28" ht="15.9" customHeight="1" x14ac:dyDescent="0.25">
      <c r="A39" s="198"/>
      <c r="B39" s="87"/>
      <c r="C39" s="201"/>
      <c r="D39" s="87"/>
      <c r="E39" s="209"/>
      <c r="F39" s="110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11"/>
      <c r="U39" s="110"/>
      <c r="V39" s="106"/>
      <c r="W39" s="106"/>
      <c r="X39" s="106"/>
      <c r="Y39" s="111"/>
    </row>
    <row r="40" spans="1:28" ht="15.9" customHeight="1" thickBot="1" x14ac:dyDescent="0.3">
      <c r="A40" s="199"/>
      <c r="B40" s="196"/>
      <c r="C40" s="202"/>
      <c r="D40" s="196"/>
      <c r="E40" s="211"/>
      <c r="F40" s="112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4"/>
      <c r="U40" s="110"/>
      <c r="V40" s="106"/>
      <c r="W40" s="106"/>
      <c r="X40" s="106"/>
      <c r="Y40" s="111"/>
    </row>
    <row r="41" spans="1:28" ht="15.9" customHeight="1" x14ac:dyDescent="0.25">
      <c r="A41" s="118" t="s">
        <v>20</v>
      </c>
      <c r="B41" s="119" cm="1">
        <f t="array" ref="B41">SUM(COUNTIF(C6:C40,{"นาย","เด็กชาย"}))</f>
        <v>9</v>
      </c>
      <c r="C41" s="120" t="s">
        <v>21</v>
      </c>
      <c r="D41" s="119" cm="1">
        <f t="array" ref="D41">SUM(COUNTIF(C6:C40,{"นางสาว","เด็กหญิง"}))</f>
        <v>23</v>
      </c>
      <c r="E41" s="118" t="s">
        <v>22</v>
      </c>
      <c r="F41" s="88">
        <f>B41+D41</f>
        <v>32</v>
      </c>
    </row>
  </sheetData>
  <sortState xmlns:xlrd2="http://schemas.microsoft.com/office/spreadsheetml/2017/richdata2" ref="B16:E34">
    <sortCondition ref="B16:B34"/>
  </sortState>
  <mergeCells count="26">
    <mergeCell ref="Y4:Y5"/>
    <mergeCell ref="N4:N5"/>
    <mergeCell ref="O4:O5"/>
    <mergeCell ref="P4:P5"/>
    <mergeCell ref="Q4:Q5"/>
    <mergeCell ref="R4:R5"/>
    <mergeCell ref="X4:X5"/>
    <mergeCell ref="S4:S5"/>
    <mergeCell ref="T4:T5"/>
    <mergeCell ref="U4:U5"/>
    <mergeCell ref="V4:V5"/>
    <mergeCell ref="W4:W5"/>
    <mergeCell ref="A1:T1"/>
    <mergeCell ref="C4:E5"/>
    <mergeCell ref="F4:F5"/>
    <mergeCell ref="G4:G5"/>
    <mergeCell ref="H4:H5"/>
    <mergeCell ref="I4:I5"/>
    <mergeCell ref="J4:J5"/>
    <mergeCell ref="K4:K5"/>
    <mergeCell ref="L4:L5"/>
    <mergeCell ref="M4:M5"/>
    <mergeCell ref="A2:C2"/>
    <mergeCell ref="F2:O2"/>
    <mergeCell ref="F3:O3"/>
    <mergeCell ref="B3:D3"/>
  </mergeCells>
  <printOptions horizontalCentered="1"/>
  <pageMargins left="0.39370078740157483" right="0" top="0.39370078740157483" bottom="0" header="0.31496062992125984" footer="0.31496062992125984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41"/>
  <sheetViews>
    <sheetView workbookViewId="0">
      <selection activeCell="E34" sqref="A6:E34"/>
    </sheetView>
  </sheetViews>
  <sheetFormatPr defaultRowHeight="15.9" customHeight="1" x14ac:dyDescent="0.25"/>
  <cols>
    <col min="1" max="1" width="4.3984375" style="67" customWidth="1"/>
    <col min="2" max="3" width="7" style="67" customWidth="1"/>
    <col min="4" max="4" width="11" style="67" customWidth="1"/>
    <col min="5" max="5" width="14.19921875" style="67" customWidth="1"/>
    <col min="6" max="20" width="2.69921875" style="67" customWidth="1"/>
    <col min="21" max="25" width="2.69921875" hidden="1" customWidth="1"/>
    <col min="26" max="27" width="0" hidden="1" customWidth="1"/>
    <col min="28" max="28" width="9.765625E-2" hidden="1" customWidth="1"/>
  </cols>
  <sheetData>
    <row r="1" spans="1:28" ht="15.9" customHeight="1" x14ac:dyDescent="0.6">
      <c r="A1" s="318" t="s">
        <v>1001</v>
      </c>
      <c r="B1" s="318"/>
      <c r="C1" s="318"/>
      <c r="D1" s="318"/>
      <c r="E1" s="318"/>
      <c r="F1" s="318"/>
      <c r="G1" s="318"/>
      <c r="H1" s="318"/>
      <c r="I1" s="318"/>
      <c r="J1" s="318"/>
      <c r="K1" s="318"/>
      <c r="L1" s="318"/>
      <c r="M1" s="318"/>
      <c r="N1" s="318"/>
      <c r="O1" s="318"/>
      <c r="P1" s="318"/>
      <c r="Q1" s="318"/>
      <c r="R1" s="318"/>
      <c r="S1" s="318"/>
      <c r="T1" s="318"/>
      <c r="U1" s="16"/>
      <c r="V1" s="16"/>
      <c r="W1" s="16"/>
      <c r="X1" s="16"/>
      <c r="Y1" s="16"/>
    </row>
    <row r="2" spans="1:28" s="19" customFormat="1" ht="15.9" customHeight="1" x14ac:dyDescent="0.6">
      <c r="A2" s="320" t="s">
        <v>5</v>
      </c>
      <c r="B2" s="320"/>
      <c r="C2" s="320"/>
      <c r="D2" s="264">
        <v>603</v>
      </c>
      <c r="E2" s="264" t="s">
        <v>6</v>
      </c>
      <c r="F2" s="319" t="s">
        <v>928</v>
      </c>
      <c r="G2" s="319"/>
      <c r="H2" s="319"/>
      <c r="I2" s="319"/>
      <c r="J2" s="319"/>
      <c r="K2" s="319"/>
      <c r="L2" s="319"/>
      <c r="M2" s="319"/>
      <c r="N2" s="319"/>
      <c r="O2" s="319"/>
      <c r="P2" s="69"/>
      <c r="Q2" s="69"/>
      <c r="R2" s="69"/>
      <c r="S2" s="69"/>
      <c r="T2" s="69"/>
      <c r="U2" s="16"/>
      <c r="V2" s="16"/>
      <c r="W2" s="16"/>
      <c r="X2" s="16"/>
      <c r="Y2" s="16"/>
    </row>
    <row r="3" spans="1:28" s="19" customFormat="1" ht="15.9" customHeight="1" thickBot="1" x14ac:dyDescent="0.65">
      <c r="A3" s="268"/>
      <c r="B3" s="319" t="s">
        <v>919</v>
      </c>
      <c r="C3" s="319"/>
      <c r="D3" s="319"/>
      <c r="E3" s="69"/>
      <c r="F3" s="319" t="s">
        <v>929</v>
      </c>
      <c r="G3" s="319"/>
      <c r="H3" s="319"/>
      <c r="I3" s="319"/>
      <c r="J3" s="319"/>
      <c r="K3" s="319"/>
      <c r="L3" s="319"/>
      <c r="M3" s="319"/>
      <c r="N3" s="319"/>
      <c r="O3" s="319"/>
      <c r="P3" s="69"/>
      <c r="Q3" s="69"/>
      <c r="R3" s="69"/>
      <c r="S3" s="69"/>
      <c r="T3" s="69"/>
      <c r="U3" s="16"/>
      <c r="V3" s="16"/>
      <c r="W3" s="16"/>
      <c r="X3" s="16"/>
      <c r="Y3" s="16"/>
    </row>
    <row r="4" spans="1:28" ht="15.9" customHeight="1" x14ac:dyDescent="0.25">
      <c r="A4" s="282" t="s">
        <v>1</v>
      </c>
      <c r="B4" s="276" t="s">
        <v>2</v>
      </c>
      <c r="C4" s="306" t="s">
        <v>3</v>
      </c>
      <c r="D4" s="306"/>
      <c r="E4" s="307"/>
      <c r="F4" s="310"/>
      <c r="G4" s="306"/>
      <c r="H4" s="306"/>
      <c r="I4" s="306"/>
      <c r="J4" s="306"/>
      <c r="K4" s="306"/>
      <c r="L4" s="306"/>
      <c r="M4" s="306"/>
      <c r="N4" s="306"/>
      <c r="O4" s="306"/>
      <c r="P4" s="306"/>
      <c r="Q4" s="306"/>
      <c r="R4" s="306"/>
      <c r="S4" s="306"/>
      <c r="T4" s="307"/>
      <c r="U4" s="325"/>
      <c r="V4" s="323"/>
      <c r="W4" s="323"/>
      <c r="X4" s="323"/>
      <c r="Y4" s="321"/>
    </row>
    <row r="5" spans="1:28" ht="15.9" customHeight="1" thickBot="1" x14ac:dyDescent="0.3">
      <c r="A5" s="283" t="s">
        <v>0</v>
      </c>
      <c r="B5" s="277" t="s">
        <v>4</v>
      </c>
      <c r="C5" s="308"/>
      <c r="D5" s="308"/>
      <c r="E5" s="309"/>
      <c r="F5" s="311"/>
      <c r="G5" s="308"/>
      <c r="H5" s="308"/>
      <c r="I5" s="308"/>
      <c r="J5" s="308"/>
      <c r="K5" s="308"/>
      <c r="L5" s="308"/>
      <c r="M5" s="308"/>
      <c r="N5" s="308"/>
      <c r="O5" s="308"/>
      <c r="P5" s="308"/>
      <c r="Q5" s="308"/>
      <c r="R5" s="308"/>
      <c r="S5" s="308"/>
      <c r="T5" s="309"/>
      <c r="U5" s="326"/>
      <c r="V5" s="324"/>
      <c r="W5" s="324"/>
      <c r="X5" s="324"/>
      <c r="Y5" s="322"/>
    </row>
    <row r="6" spans="1:28" ht="15.9" customHeight="1" x14ac:dyDescent="0.6">
      <c r="A6" s="261">
        <v>1</v>
      </c>
      <c r="B6" s="29" t="s">
        <v>608</v>
      </c>
      <c r="C6" s="29" t="s">
        <v>23</v>
      </c>
      <c r="D6" s="29" t="s">
        <v>179</v>
      </c>
      <c r="E6" s="30" t="s">
        <v>180</v>
      </c>
      <c r="F6" s="90"/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2"/>
      <c r="U6" s="24"/>
      <c r="V6" s="12"/>
      <c r="W6" s="12"/>
      <c r="X6" s="12"/>
      <c r="Y6" s="13"/>
    </row>
    <row r="7" spans="1:28" ht="15.9" customHeight="1" x14ac:dyDescent="0.6">
      <c r="A7" s="262">
        <v>2</v>
      </c>
      <c r="B7" s="28" t="s">
        <v>609</v>
      </c>
      <c r="C7" s="28" t="s">
        <v>23</v>
      </c>
      <c r="D7" s="28" t="s">
        <v>164</v>
      </c>
      <c r="E7" s="31" t="s">
        <v>165</v>
      </c>
      <c r="F7" s="93"/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94"/>
      <c r="U7" s="1"/>
      <c r="V7" s="2"/>
      <c r="W7" s="2"/>
      <c r="X7" s="2"/>
      <c r="Y7" s="6"/>
    </row>
    <row r="8" spans="1:28" ht="15.9" customHeight="1" x14ac:dyDescent="0.6">
      <c r="A8" s="262">
        <v>3</v>
      </c>
      <c r="B8" s="28" t="s">
        <v>611</v>
      </c>
      <c r="C8" s="28" t="s">
        <v>23</v>
      </c>
      <c r="D8" s="28" t="s">
        <v>174</v>
      </c>
      <c r="E8" s="31" t="s">
        <v>175</v>
      </c>
      <c r="F8" s="93"/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94"/>
      <c r="U8" s="1"/>
      <c r="V8" s="2"/>
      <c r="W8" s="2"/>
      <c r="X8" s="2"/>
      <c r="Y8" s="6"/>
    </row>
    <row r="9" spans="1:28" ht="15.9" customHeight="1" x14ac:dyDescent="0.6">
      <c r="A9" s="262">
        <v>4</v>
      </c>
      <c r="B9" s="28" t="s">
        <v>612</v>
      </c>
      <c r="C9" s="28" t="s">
        <v>23</v>
      </c>
      <c r="D9" s="28" t="s">
        <v>613</v>
      </c>
      <c r="E9" s="31" t="s">
        <v>185</v>
      </c>
      <c r="F9" s="93"/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94"/>
      <c r="U9" s="1"/>
      <c r="V9" s="2"/>
      <c r="W9" s="2"/>
      <c r="X9" s="2"/>
      <c r="Y9" s="6"/>
    </row>
    <row r="10" spans="1:28" ht="15.9" customHeight="1" thickBot="1" x14ac:dyDescent="0.65">
      <c r="A10" s="263">
        <v>5</v>
      </c>
      <c r="B10" s="20" t="s">
        <v>614</v>
      </c>
      <c r="C10" s="20" t="s">
        <v>23</v>
      </c>
      <c r="D10" s="20" t="s">
        <v>197</v>
      </c>
      <c r="E10" s="21" t="s">
        <v>198</v>
      </c>
      <c r="F10" s="96"/>
      <c r="G10" s="97"/>
      <c r="H10" s="97"/>
      <c r="I10" s="97"/>
      <c r="J10" s="97"/>
      <c r="K10" s="97"/>
      <c r="L10" s="97"/>
      <c r="M10" s="97"/>
      <c r="N10" s="97"/>
      <c r="O10" s="97"/>
      <c r="P10" s="97"/>
      <c r="Q10" s="97"/>
      <c r="R10" s="97"/>
      <c r="S10" s="97"/>
      <c r="T10" s="98"/>
      <c r="U10" s="4"/>
      <c r="V10" s="3"/>
      <c r="W10" s="3"/>
      <c r="X10" s="3"/>
      <c r="Y10" s="8"/>
    </row>
    <row r="11" spans="1:28" ht="15.9" customHeight="1" x14ac:dyDescent="0.6">
      <c r="A11" s="261">
        <v>6</v>
      </c>
      <c r="B11" s="29" t="s">
        <v>615</v>
      </c>
      <c r="C11" s="29" t="s">
        <v>23</v>
      </c>
      <c r="D11" s="29" t="s">
        <v>199</v>
      </c>
      <c r="E11" s="30" t="s">
        <v>200</v>
      </c>
      <c r="F11" s="90"/>
      <c r="G11" s="91"/>
      <c r="H11" s="91"/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2"/>
      <c r="U11" s="24"/>
      <c r="V11" s="12"/>
      <c r="W11" s="12"/>
      <c r="X11" s="12"/>
      <c r="Y11" s="13"/>
    </row>
    <row r="12" spans="1:28" ht="15.9" customHeight="1" x14ac:dyDescent="0.6">
      <c r="A12" s="262">
        <v>7</v>
      </c>
      <c r="B12" s="28" t="s">
        <v>616</v>
      </c>
      <c r="C12" s="28" t="s">
        <v>24</v>
      </c>
      <c r="D12" s="28" t="s">
        <v>617</v>
      </c>
      <c r="E12" s="31" t="s">
        <v>169</v>
      </c>
      <c r="F12" s="93"/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94"/>
      <c r="U12" s="1"/>
      <c r="V12" s="2"/>
      <c r="W12" s="2"/>
      <c r="X12" s="2"/>
      <c r="Y12" s="6"/>
    </row>
    <row r="13" spans="1:28" ht="15.9" customHeight="1" x14ac:dyDescent="0.6">
      <c r="A13" s="262">
        <v>8</v>
      </c>
      <c r="B13" s="28" t="s">
        <v>618</v>
      </c>
      <c r="C13" s="28" t="s">
        <v>24</v>
      </c>
      <c r="D13" s="28" t="s">
        <v>166</v>
      </c>
      <c r="E13" s="31" t="s">
        <v>167</v>
      </c>
      <c r="F13" s="93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66"/>
      <c r="R13" s="89"/>
      <c r="S13" s="89"/>
      <c r="T13" s="94"/>
      <c r="U13" s="1"/>
      <c r="V13" s="34"/>
      <c r="W13" s="2"/>
      <c r="X13" s="2"/>
      <c r="Y13" s="6"/>
    </row>
    <row r="14" spans="1:28" ht="15.9" customHeight="1" x14ac:dyDescent="0.6">
      <c r="A14" s="262">
        <v>9</v>
      </c>
      <c r="B14" s="28" t="s">
        <v>619</v>
      </c>
      <c r="C14" s="28" t="s">
        <v>24</v>
      </c>
      <c r="D14" s="28" t="s">
        <v>43</v>
      </c>
      <c r="E14" s="31" t="s">
        <v>173</v>
      </c>
      <c r="F14" s="93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94"/>
      <c r="U14" s="1"/>
      <c r="V14" s="2"/>
      <c r="W14" s="2"/>
      <c r="X14" s="2"/>
      <c r="Y14" s="6"/>
    </row>
    <row r="15" spans="1:28" ht="15.9" customHeight="1" thickBot="1" x14ac:dyDescent="0.65">
      <c r="A15" s="263">
        <v>10</v>
      </c>
      <c r="B15" s="20" t="s">
        <v>620</v>
      </c>
      <c r="C15" s="20" t="s">
        <v>24</v>
      </c>
      <c r="D15" s="20" t="s">
        <v>47</v>
      </c>
      <c r="E15" s="21" t="s">
        <v>186</v>
      </c>
      <c r="F15" s="96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7"/>
      <c r="S15" s="97"/>
      <c r="T15" s="98"/>
      <c r="U15" s="4"/>
      <c r="V15" s="3"/>
      <c r="W15" s="3"/>
      <c r="X15" s="3"/>
      <c r="Y15" s="8"/>
    </row>
    <row r="16" spans="1:28" ht="15.9" customHeight="1" x14ac:dyDescent="0.6">
      <c r="A16" s="261">
        <v>11</v>
      </c>
      <c r="B16" s="29" t="s">
        <v>621</v>
      </c>
      <c r="C16" s="29" t="s">
        <v>24</v>
      </c>
      <c r="D16" s="29" t="s">
        <v>192</v>
      </c>
      <c r="E16" s="30" t="s">
        <v>193</v>
      </c>
      <c r="F16" s="90"/>
      <c r="G16" s="91"/>
      <c r="H16" s="91"/>
      <c r="I16" s="91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2"/>
      <c r="U16" s="24"/>
      <c r="V16" s="12"/>
      <c r="W16" s="12"/>
      <c r="X16" s="12"/>
      <c r="Y16" s="13"/>
      <c r="AA16" s="15"/>
      <c r="AB16" s="15"/>
    </row>
    <row r="17" spans="1:25" ht="15.9" customHeight="1" x14ac:dyDescent="0.6">
      <c r="A17" s="262">
        <v>12</v>
      </c>
      <c r="B17" s="28" t="s">
        <v>770</v>
      </c>
      <c r="C17" s="28" t="s">
        <v>24</v>
      </c>
      <c r="D17" s="28" t="s">
        <v>343</v>
      </c>
      <c r="E17" s="31" t="s">
        <v>344</v>
      </c>
      <c r="F17" s="93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94"/>
      <c r="U17" s="9"/>
      <c r="V17" s="10"/>
      <c r="W17" s="10"/>
      <c r="X17" s="10"/>
      <c r="Y17" s="14"/>
    </row>
    <row r="18" spans="1:25" ht="15.9" customHeight="1" x14ac:dyDescent="0.6">
      <c r="A18" s="262">
        <v>13</v>
      </c>
      <c r="B18" s="28" t="s">
        <v>622</v>
      </c>
      <c r="C18" s="28" t="s">
        <v>24</v>
      </c>
      <c r="D18" s="28" t="s">
        <v>191</v>
      </c>
      <c r="E18" s="31" t="s">
        <v>94</v>
      </c>
      <c r="F18" s="93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94"/>
      <c r="U18" s="1"/>
      <c r="V18" s="2"/>
      <c r="W18" s="2"/>
      <c r="X18" s="2"/>
      <c r="Y18" s="6"/>
    </row>
    <row r="19" spans="1:25" ht="15.9" customHeight="1" x14ac:dyDescent="0.6">
      <c r="A19" s="262">
        <v>14</v>
      </c>
      <c r="B19" s="28" t="s">
        <v>623</v>
      </c>
      <c r="C19" s="28" t="s">
        <v>24</v>
      </c>
      <c r="D19" s="28" t="s">
        <v>187</v>
      </c>
      <c r="E19" s="31" t="s">
        <v>188</v>
      </c>
      <c r="F19" s="93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94"/>
      <c r="U19" s="1"/>
      <c r="V19" s="2"/>
      <c r="W19" s="2"/>
      <c r="X19" s="2"/>
      <c r="Y19" s="6"/>
    </row>
    <row r="20" spans="1:25" ht="15.9" customHeight="1" thickBot="1" x14ac:dyDescent="0.65">
      <c r="A20" s="263">
        <v>15</v>
      </c>
      <c r="B20" s="20" t="s">
        <v>624</v>
      </c>
      <c r="C20" s="20" t="s">
        <v>24</v>
      </c>
      <c r="D20" s="20" t="s">
        <v>168</v>
      </c>
      <c r="E20" s="21" t="s">
        <v>132</v>
      </c>
      <c r="F20" s="96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8"/>
      <c r="U20" s="4"/>
      <c r="V20" s="3"/>
      <c r="W20" s="3"/>
      <c r="X20" s="3"/>
      <c r="Y20" s="8"/>
    </row>
    <row r="21" spans="1:25" ht="15.9" customHeight="1" x14ac:dyDescent="0.6">
      <c r="A21" s="261">
        <v>16</v>
      </c>
      <c r="B21" s="29" t="s">
        <v>625</v>
      </c>
      <c r="C21" s="29" t="s">
        <v>24</v>
      </c>
      <c r="D21" s="29" t="s">
        <v>171</v>
      </c>
      <c r="E21" s="30" t="s">
        <v>172</v>
      </c>
      <c r="F21" s="90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2"/>
      <c r="U21" s="24"/>
      <c r="V21" s="12"/>
      <c r="W21" s="12"/>
      <c r="X21" s="12"/>
      <c r="Y21" s="13"/>
    </row>
    <row r="22" spans="1:25" ht="15.9" customHeight="1" x14ac:dyDescent="0.6">
      <c r="A22" s="262">
        <v>17</v>
      </c>
      <c r="B22" s="28" t="s">
        <v>626</v>
      </c>
      <c r="C22" s="28" t="s">
        <v>24</v>
      </c>
      <c r="D22" s="28" t="s">
        <v>627</v>
      </c>
      <c r="E22" s="31" t="s">
        <v>170</v>
      </c>
      <c r="F22" s="93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94"/>
      <c r="U22" s="1"/>
      <c r="V22" s="2"/>
      <c r="W22" s="2"/>
      <c r="X22" s="2"/>
      <c r="Y22" s="6"/>
    </row>
    <row r="23" spans="1:25" ht="15.9" customHeight="1" x14ac:dyDescent="0.6">
      <c r="A23" s="262">
        <v>18</v>
      </c>
      <c r="B23" s="28" t="s">
        <v>628</v>
      </c>
      <c r="C23" s="28" t="s">
        <v>24</v>
      </c>
      <c r="D23" s="28" t="s">
        <v>14</v>
      </c>
      <c r="E23" s="31" t="s">
        <v>176</v>
      </c>
      <c r="F23" s="93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4"/>
      <c r="U23" s="1"/>
      <c r="V23" s="2"/>
      <c r="W23" s="2"/>
      <c r="X23" s="2"/>
      <c r="Y23" s="6"/>
    </row>
    <row r="24" spans="1:25" ht="15.9" customHeight="1" x14ac:dyDescent="0.6">
      <c r="A24" s="262">
        <v>19</v>
      </c>
      <c r="B24" s="28" t="s">
        <v>629</v>
      </c>
      <c r="C24" s="28" t="s">
        <v>24</v>
      </c>
      <c r="D24" s="28" t="s">
        <v>177</v>
      </c>
      <c r="E24" s="31" t="s">
        <v>178</v>
      </c>
      <c r="F24" s="93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4"/>
      <c r="U24" s="1"/>
      <c r="V24" s="2"/>
      <c r="W24" s="2"/>
      <c r="X24" s="2"/>
      <c r="Y24" s="6"/>
    </row>
    <row r="25" spans="1:25" ht="15.9" customHeight="1" thickBot="1" x14ac:dyDescent="0.65">
      <c r="A25" s="263">
        <v>20</v>
      </c>
      <c r="B25" s="20" t="s">
        <v>630</v>
      </c>
      <c r="C25" s="20" t="s">
        <v>24</v>
      </c>
      <c r="D25" s="20" t="s">
        <v>181</v>
      </c>
      <c r="E25" s="21" t="s">
        <v>182</v>
      </c>
      <c r="F25" s="96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8"/>
      <c r="U25" s="4"/>
      <c r="V25" s="3"/>
      <c r="W25" s="3"/>
      <c r="X25" s="3"/>
      <c r="Y25" s="8"/>
    </row>
    <row r="26" spans="1:25" ht="15.9" customHeight="1" x14ac:dyDescent="0.6">
      <c r="A26" s="261">
        <v>21</v>
      </c>
      <c r="B26" s="29" t="s">
        <v>631</v>
      </c>
      <c r="C26" s="29" t="s">
        <v>24</v>
      </c>
      <c r="D26" s="29" t="s">
        <v>189</v>
      </c>
      <c r="E26" s="30" t="s">
        <v>190</v>
      </c>
      <c r="F26" s="90"/>
      <c r="G26" s="91"/>
      <c r="H26" s="91"/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2"/>
      <c r="U26" s="24"/>
      <c r="V26" s="12"/>
      <c r="W26" s="12"/>
      <c r="X26" s="12"/>
      <c r="Y26" s="13"/>
    </row>
    <row r="27" spans="1:25" ht="15.9" customHeight="1" x14ac:dyDescent="0.6">
      <c r="A27" s="262">
        <v>22</v>
      </c>
      <c r="B27" s="28" t="s">
        <v>632</v>
      </c>
      <c r="C27" s="28" t="s">
        <v>24</v>
      </c>
      <c r="D27" s="28" t="s">
        <v>194</v>
      </c>
      <c r="E27" s="31" t="s">
        <v>55</v>
      </c>
      <c r="F27" s="93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4"/>
      <c r="U27" s="1"/>
      <c r="V27" s="2"/>
      <c r="W27" s="2"/>
      <c r="X27" s="2"/>
      <c r="Y27" s="6"/>
    </row>
    <row r="28" spans="1:25" ht="15.9" customHeight="1" x14ac:dyDescent="0.6">
      <c r="A28" s="262">
        <v>23</v>
      </c>
      <c r="B28" s="28" t="s">
        <v>633</v>
      </c>
      <c r="C28" s="28" t="s">
        <v>24</v>
      </c>
      <c r="D28" s="28" t="s">
        <v>195</v>
      </c>
      <c r="E28" s="31" t="s">
        <v>196</v>
      </c>
      <c r="F28" s="93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4"/>
      <c r="U28" s="1"/>
      <c r="V28" s="2"/>
      <c r="W28" s="2"/>
      <c r="X28" s="2"/>
      <c r="Y28" s="6"/>
    </row>
    <row r="29" spans="1:25" ht="15.9" customHeight="1" x14ac:dyDescent="0.6">
      <c r="A29" s="262">
        <v>24</v>
      </c>
      <c r="B29" s="28" t="s">
        <v>634</v>
      </c>
      <c r="C29" s="28" t="s">
        <v>24</v>
      </c>
      <c r="D29" s="28" t="s">
        <v>635</v>
      </c>
      <c r="E29" s="31" t="s">
        <v>204</v>
      </c>
      <c r="F29" s="93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4"/>
      <c r="U29" s="1"/>
      <c r="V29" s="2"/>
      <c r="W29" s="2"/>
      <c r="X29" s="2"/>
      <c r="Y29" s="6"/>
    </row>
    <row r="30" spans="1:25" ht="15.9" customHeight="1" thickBot="1" x14ac:dyDescent="0.65">
      <c r="A30" s="263">
        <v>25</v>
      </c>
      <c r="B30" s="20" t="s">
        <v>636</v>
      </c>
      <c r="C30" s="20" t="s">
        <v>24</v>
      </c>
      <c r="D30" s="20" t="s">
        <v>49</v>
      </c>
      <c r="E30" s="21" t="s">
        <v>205</v>
      </c>
      <c r="F30" s="96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8"/>
      <c r="U30" s="4"/>
      <c r="V30" s="3"/>
      <c r="W30" s="3"/>
      <c r="X30" s="3"/>
      <c r="Y30" s="8"/>
    </row>
    <row r="31" spans="1:25" ht="15.9" customHeight="1" x14ac:dyDescent="0.6">
      <c r="A31" s="261">
        <v>26</v>
      </c>
      <c r="B31" s="29" t="s">
        <v>637</v>
      </c>
      <c r="C31" s="29" t="s">
        <v>24</v>
      </c>
      <c r="D31" s="29" t="s">
        <v>202</v>
      </c>
      <c r="E31" s="30" t="s">
        <v>203</v>
      </c>
      <c r="F31" s="90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2"/>
      <c r="U31" s="9"/>
      <c r="V31" s="10"/>
      <c r="W31" s="10"/>
      <c r="X31" s="10"/>
      <c r="Y31" s="14"/>
    </row>
    <row r="32" spans="1:25" ht="15.9" customHeight="1" x14ac:dyDescent="0.6">
      <c r="A32" s="262">
        <v>27</v>
      </c>
      <c r="B32" s="28" t="s">
        <v>988</v>
      </c>
      <c r="C32" s="28" t="s">
        <v>24</v>
      </c>
      <c r="D32" s="28" t="s">
        <v>989</v>
      </c>
      <c r="E32" s="31" t="s">
        <v>990</v>
      </c>
      <c r="F32" s="93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4"/>
      <c r="U32" s="1"/>
      <c r="V32" s="2"/>
      <c r="W32" s="2"/>
      <c r="X32" s="2"/>
      <c r="Y32" s="6"/>
    </row>
    <row r="33" spans="1:25" ht="15.9" customHeight="1" x14ac:dyDescent="0.6">
      <c r="A33" s="262">
        <v>28</v>
      </c>
      <c r="B33" s="28" t="s">
        <v>638</v>
      </c>
      <c r="C33" s="28" t="s">
        <v>24</v>
      </c>
      <c r="D33" s="28" t="s">
        <v>206</v>
      </c>
      <c r="E33" s="31" t="s">
        <v>207</v>
      </c>
      <c r="F33" s="93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4"/>
      <c r="U33" s="1"/>
      <c r="V33" s="2"/>
      <c r="W33" s="2"/>
      <c r="X33" s="2"/>
      <c r="Y33" s="6"/>
    </row>
    <row r="34" spans="1:25" ht="15.9" customHeight="1" x14ac:dyDescent="0.6">
      <c r="A34" s="262">
        <v>29</v>
      </c>
      <c r="B34" s="28" t="s">
        <v>639</v>
      </c>
      <c r="C34" s="28" t="s">
        <v>24</v>
      </c>
      <c r="D34" s="28" t="s">
        <v>640</v>
      </c>
      <c r="E34" s="31" t="s">
        <v>201</v>
      </c>
      <c r="F34" s="93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4"/>
      <c r="U34" s="1"/>
      <c r="V34" s="2"/>
      <c r="W34" s="2"/>
      <c r="X34" s="2"/>
      <c r="Y34" s="6"/>
    </row>
    <row r="35" spans="1:25" ht="15.9" customHeight="1" thickBot="1" x14ac:dyDescent="0.65">
      <c r="A35" s="263"/>
      <c r="B35" s="20"/>
      <c r="C35" s="20"/>
      <c r="D35" s="20"/>
      <c r="E35" s="21"/>
      <c r="F35" s="96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8"/>
      <c r="U35" s="4"/>
      <c r="V35" s="3"/>
      <c r="W35" s="3"/>
      <c r="X35" s="3"/>
      <c r="Y35" s="8"/>
    </row>
    <row r="36" spans="1:25" ht="15.9" customHeight="1" x14ac:dyDescent="0.6">
      <c r="A36" s="253"/>
      <c r="B36" s="251"/>
      <c r="C36" s="252"/>
      <c r="D36" s="168"/>
      <c r="E36" s="247"/>
      <c r="F36" s="99"/>
      <c r="G36" s="100"/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0"/>
      <c r="S36" s="100"/>
      <c r="T36" s="101"/>
      <c r="U36" s="9"/>
      <c r="V36" s="10"/>
      <c r="W36" s="10"/>
      <c r="X36" s="10"/>
      <c r="Y36" s="14"/>
    </row>
    <row r="37" spans="1:25" ht="15.9" customHeight="1" x14ac:dyDescent="0.6">
      <c r="A37" s="212"/>
      <c r="B37" s="182"/>
      <c r="C37" s="32"/>
      <c r="D37" s="28"/>
      <c r="E37" s="31"/>
      <c r="F37" s="93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4"/>
      <c r="U37" s="1"/>
      <c r="V37" s="2"/>
      <c r="W37" s="2"/>
      <c r="X37" s="2"/>
      <c r="Y37" s="6"/>
    </row>
    <row r="38" spans="1:25" ht="15.9" customHeight="1" x14ac:dyDescent="0.6">
      <c r="A38" s="212"/>
      <c r="B38" s="143"/>
      <c r="C38" s="144"/>
      <c r="D38" s="66"/>
      <c r="E38" s="145"/>
      <c r="F38" s="93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4"/>
      <c r="U38" s="1"/>
      <c r="V38" s="2"/>
      <c r="W38" s="2"/>
      <c r="X38" s="2"/>
      <c r="Y38" s="6"/>
    </row>
    <row r="39" spans="1:25" ht="15.9" customHeight="1" x14ac:dyDescent="0.6">
      <c r="A39" s="212"/>
      <c r="B39" s="143"/>
      <c r="C39" s="144"/>
      <c r="D39" s="66"/>
      <c r="E39" s="145"/>
      <c r="F39" s="93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4"/>
      <c r="U39" s="1"/>
      <c r="V39" s="2"/>
      <c r="W39" s="2"/>
      <c r="X39" s="2"/>
      <c r="Y39" s="6"/>
    </row>
    <row r="40" spans="1:25" ht="15.9" customHeight="1" thickBot="1" x14ac:dyDescent="0.65">
      <c r="A40" s="154"/>
      <c r="B40" s="146"/>
      <c r="C40" s="147"/>
      <c r="D40" s="126"/>
      <c r="E40" s="127"/>
      <c r="F40" s="96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8"/>
      <c r="U40" s="4"/>
      <c r="V40" s="3"/>
      <c r="W40" s="3"/>
      <c r="X40" s="3"/>
      <c r="Y40" s="8"/>
    </row>
    <row r="41" spans="1:25" ht="15.9" customHeight="1" x14ac:dyDescent="0.6">
      <c r="A41" s="102" t="s">
        <v>20</v>
      </c>
      <c r="B41" s="103">
        <f>SUM(COUNTIF(C6:C41,{"นาย","เด็กชาย"}))</f>
        <v>6</v>
      </c>
      <c r="C41" s="104" t="s">
        <v>21</v>
      </c>
      <c r="D41" s="103">
        <f>SUM(COUNTIF(C6:C41,{"นางสาว","เด็กหญิง"}))</f>
        <v>23</v>
      </c>
      <c r="E41" s="102" t="s">
        <v>22</v>
      </c>
      <c r="F41" s="67">
        <f>B41+D41</f>
        <v>29</v>
      </c>
      <c r="U41" s="15"/>
      <c r="V41" s="15"/>
      <c r="W41" s="15"/>
      <c r="X41" s="15"/>
    </row>
  </sheetData>
  <sortState xmlns:xlrd2="http://schemas.microsoft.com/office/spreadsheetml/2017/richdata2" ref="B8:E13">
    <sortCondition ref="B8:B13"/>
  </sortState>
  <mergeCells count="26">
    <mergeCell ref="Y4:Y5"/>
    <mergeCell ref="N4:N5"/>
    <mergeCell ref="O4:O5"/>
    <mergeCell ref="P4:P5"/>
    <mergeCell ref="Q4:Q5"/>
    <mergeCell ref="R4:R5"/>
    <mergeCell ref="X4:X5"/>
    <mergeCell ref="S4:S5"/>
    <mergeCell ref="T4:T5"/>
    <mergeCell ref="U4:U5"/>
    <mergeCell ref="V4:V5"/>
    <mergeCell ref="W4:W5"/>
    <mergeCell ref="A1:T1"/>
    <mergeCell ref="C4:E5"/>
    <mergeCell ref="F4:F5"/>
    <mergeCell ref="G4:G5"/>
    <mergeCell ref="H4:H5"/>
    <mergeCell ref="I4:I5"/>
    <mergeCell ref="J4:J5"/>
    <mergeCell ref="K4:K5"/>
    <mergeCell ref="L4:L5"/>
    <mergeCell ref="M4:M5"/>
    <mergeCell ref="F2:O2"/>
    <mergeCell ref="F3:O3"/>
    <mergeCell ref="A2:C2"/>
    <mergeCell ref="B3:D3"/>
  </mergeCells>
  <printOptions horizontalCentered="1"/>
  <pageMargins left="0.39370078740157483" right="0" top="0.39370078740157483" bottom="0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40"/>
  <sheetViews>
    <sheetView zoomScaleNormal="100" workbookViewId="0">
      <selection activeCell="AH12" sqref="AH12"/>
    </sheetView>
  </sheetViews>
  <sheetFormatPr defaultRowHeight="15.9" customHeight="1" x14ac:dyDescent="0.25"/>
  <cols>
    <col min="1" max="1" width="4" style="88" customWidth="1"/>
    <col min="2" max="2" width="6.3984375" style="88" customWidth="1"/>
    <col min="3" max="3" width="8.3984375" style="88" customWidth="1"/>
    <col min="4" max="4" width="11.69921875" style="88" customWidth="1"/>
    <col min="5" max="5" width="14.8984375" style="88" customWidth="1"/>
    <col min="6" max="20" width="2.69921875" style="88" customWidth="1"/>
    <col min="21" max="25" width="2.69921875" hidden="1" customWidth="1"/>
    <col min="26" max="27" width="0" hidden="1" customWidth="1"/>
  </cols>
  <sheetData>
    <row r="1" spans="1:29" ht="15.9" customHeight="1" x14ac:dyDescent="0.6">
      <c r="A1" s="298" t="s">
        <v>1001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16"/>
      <c r="V1" s="16"/>
      <c r="W1" s="16"/>
      <c r="X1" s="16"/>
      <c r="Y1" s="16"/>
    </row>
    <row r="2" spans="1:29" s="19" customFormat="1" ht="15.9" customHeight="1" x14ac:dyDescent="0.6">
      <c r="A2" s="303" t="s">
        <v>5</v>
      </c>
      <c r="B2" s="303"/>
      <c r="C2" s="303"/>
      <c r="D2" s="82">
        <v>604</v>
      </c>
      <c r="E2" s="82" t="s">
        <v>6</v>
      </c>
      <c r="F2" s="304" t="s">
        <v>930</v>
      </c>
      <c r="G2" s="304"/>
      <c r="H2" s="304"/>
      <c r="I2" s="304"/>
      <c r="J2" s="304"/>
      <c r="K2" s="304"/>
      <c r="L2" s="304"/>
      <c r="M2" s="304"/>
      <c r="N2" s="304"/>
      <c r="O2" s="304"/>
      <c r="P2" s="83"/>
      <c r="Q2" s="83"/>
      <c r="R2" s="83"/>
      <c r="S2" s="83"/>
      <c r="T2" s="83"/>
      <c r="U2" s="16"/>
      <c r="V2" s="16"/>
      <c r="W2" s="16"/>
      <c r="X2" s="16"/>
      <c r="Y2" s="16"/>
    </row>
    <row r="3" spans="1:29" s="19" customFormat="1" ht="15.9" customHeight="1" thickBot="1" x14ac:dyDescent="0.65">
      <c r="A3" s="74"/>
      <c r="B3" s="304" t="s">
        <v>919</v>
      </c>
      <c r="C3" s="304"/>
      <c r="D3" s="304"/>
      <c r="E3" s="83"/>
      <c r="F3" s="304"/>
      <c r="G3" s="304"/>
      <c r="H3" s="304"/>
      <c r="I3" s="304"/>
      <c r="J3" s="304"/>
      <c r="K3" s="304"/>
      <c r="L3" s="304"/>
      <c r="M3" s="304"/>
      <c r="N3" s="304"/>
      <c r="O3" s="304"/>
      <c r="P3" s="83"/>
      <c r="Q3" s="83"/>
      <c r="R3" s="83"/>
      <c r="S3" s="83"/>
      <c r="T3" s="83"/>
      <c r="U3" s="16"/>
      <c r="V3" s="16"/>
      <c r="W3" s="16"/>
      <c r="X3" s="16"/>
      <c r="Y3" s="16"/>
    </row>
    <row r="4" spans="1:29" s="17" customFormat="1" ht="15.9" customHeight="1" x14ac:dyDescent="0.25">
      <c r="A4" s="282" t="s">
        <v>1</v>
      </c>
      <c r="B4" s="276" t="s">
        <v>2</v>
      </c>
      <c r="C4" s="306" t="s">
        <v>3</v>
      </c>
      <c r="D4" s="306"/>
      <c r="E4" s="307"/>
      <c r="F4" s="310"/>
      <c r="G4" s="306"/>
      <c r="H4" s="306"/>
      <c r="I4" s="306"/>
      <c r="J4" s="306"/>
      <c r="K4" s="306"/>
      <c r="L4" s="306"/>
      <c r="M4" s="306"/>
      <c r="N4" s="306"/>
      <c r="O4" s="306"/>
      <c r="P4" s="306"/>
      <c r="Q4" s="306"/>
      <c r="R4" s="306"/>
      <c r="S4" s="306"/>
      <c r="T4" s="307"/>
      <c r="U4" s="325"/>
      <c r="V4" s="323"/>
      <c r="W4" s="323"/>
      <c r="X4" s="323"/>
      <c r="Y4" s="321"/>
    </row>
    <row r="5" spans="1:29" s="17" customFormat="1" ht="15.9" customHeight="1" thickBot="1" x14ac:dyDescent="0.3">
      <c r="A5" s="283" t="s">
        <v>0</v>
      </c>
      <c r="B5" s="277" t="s">
        <v>4</v>
      </c>
      <c r="C5" s="308"/>
      <c r="D5" s="308"/>
      <c r="E5" s="309"/>
      <c r="F5" s="311"/>
      <c r="G5" s="308"/>
      <c r="H5" s="308"/>
      <c r="I5" s="308"/>
      <c r="J5" s="308"/>
      <c r="K5" s="308"/>
      <c r="L5" s="308"/>
      <c r="M5" s="308"/>
      <c r="N5" s="308"/>
      <c r="O5" s="308"/>
      <c r="P5" s="308"/>
      <c r="Q5" s="308"/>
      <c r="R5" s="308"/>
      <c r="S5" s="308"/>
      <c r="T5" s="309"/>
      <c r="U5" s="329"/>
      <c r="V5" s="328"/>
      <c r="W5" s="328"/>
      <c r="X5" s="328"/>
      <c r="Y5" s="327"/>
    </row>
    <row r="6" spans="1:29" ht="15.9" customHeight="1" x14ac:dyDescent="0.6">
      <c r="A6" s="197">
        <v>1</v>
      </c>
      <c r="B6" s="29" t="s">
        <v>641</v>
      </c>
      <c r="C6" s="29" t="s">
        <v>23</v>
      </c>
      <c r="D6" s="29" t="s">
        <v>208</v>
      </c>
      <c r="E6" s="30" t="s">
        <v>209</v>
      </c>
      <c r="F6" s="107"/>
      <c r="G6" s="108"/>
      <c r="H6" s="108"/>
      <c r="I6" s="108"/>
      <c r="J6" s="108"/>
      <c r="K6" s="108"/>
      <c r="L6" s="108"/>
      <c r="M6" s="108"/>
      <c r="N6" s="108"/>
      <c r="O6" s="108"/>
      <c r="P6" s="108"/>
      <c r="Q6" s="108"/>
      <c r="R6" s="108"/>
      <c r="S6" s="108"/>
      <c r="T6" s="109"/>
      <c r="U6" s="24"/>
      <c r="V6" s="12"/>
      <c r="W6" s="12"/>
      <c r="X6" s="12"/>
      <c r="Y6" s="13"/>
      <c r="Z6" s="38"/>
      <c r="AA6" s="38"/>
      <c r="AB6" s="38"/>
      <c r="AC6" s="38"/>
    </row>
    <row r="7" spans="1:29" ht="15.9" customHeight="1" x14ac:dyDescent="0.6">
      <c r="A7" s="198">
        <v>2</v>
      </c>
      <c r="B7" s="28" t="s">
        <v>642</v>
      </c>
      <c r="C7" s="28" t="s">
        <v>23</v>
      </c>
      <c r="D7" s="28" t="s">
        <v>210</v>
      </c>
      <c r="E7" s="31" t="s">
        <v>211</v>
      </c>
      <c r="F7" s="110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11"/>
      <c r="U7" s="1"/>
      <c r="V7" s="2"/>
      <c r="W7" s="2"/>
      <c r="X7" s="2"/>
      <c r="Y7" s="6"/>
      <c r="Z7" s="38"/>
      <c r="AA7" s="38"/>
      <c r="AB7" s="38"/>
      <c r="AC7" s="38"/>
    </row>
    <row r="8" spans="1:29" ht="15.9" customHeight="1" x14ac:dyDescent="0.6">
      <c r="A8" s="198">
        <v>3</v>
      </c>
      <c r="B8" s="28" t="s">
        <v>643</v>
      </c>
      <c r="C8" s="28" t="s">
        <v>23</v>
      </c>
      <c r="D8" s="28" t="s">
        <v>214</v>
      </c>
      <c r="E8" s="31" t="s">
        <v>215</v>
      </c>
      <c r="F8" s="110"/>
      <c r="G8" s="106"/>
      <c r="H8" s="106"/>
      <c r="I8" s="106"/>
      <c r="J8" s="106"/>
      <c r="K8" s="106"/>
      <c r="L8" s="106"/>
      <c r="M8" s="106"/>
      <c r="N8" s="106"/>
      <c r="O8" s="106"/>
      <c r="P8" s="106"/>
      <c r="Q8" s="106"/>
      <c r="R8" s="106"/>
      <c r="S8" s="106"/>
      <c r="T8" s="111"/>
      <c r="U8" s="1"/>
      <c r="V8" s="2"/>
      <c r="W8" s="2"/>
      <c r="X8" s="2"/>
      <c r="Y8" s="6"/>
      <c r="Z8" s="38"/>
      <c r="AA8" s="38"/>
      <c r="AB8" s="38"/>
      <c r="AC8" s="38"/>
    </row>
    <row r="9" spans="1:29" ht="15.9" customHeight="1" x14ac:dyDescent="0.6">
      <c r="A9" s="198">
        <v>4</v>
      </c>
      <c r="B9" s="28" t="s">
        <v>644</v>
      </c>
      <c r="C9" s="28" t="s">
        <v>23</v>
      </c>
      <c r="D9" s="28" t="s">
        <v>216</v>
      </c>
      <c r="E9" s="31" t="s">
        <v>217</v>
      </c>
      <c r="F9" s="110"/>
      <c r="G9" s="106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11"/>
      <c r="U9" s="1"/>
      <c r="V9" s="2"/>
      <c r="W9" s="2"/>
      <c r="X9" s="2"/>
      <c r="Y9" s="6"/>
      <c r="Z9" s="38"/>
      <c r="AA9" s="38"/>
      <c r="AB9" s="38"/>
      <c r="AC9" s="38"/>
    </row>
    <row r="10" spans="1:29" ht="15.9" customHeight="1" thickBot="1" x14ac:dyDescent="0.65">
      <c r="A10" s="199">
        <v>5</v>
      </c>
      <c r="B10" s="20" t="s">
        <v>645</v>
      </c>
      <c r="C10" s="20" t="s">
        <v>23</v>
      </c>
      <c r="D10" s="20" t="s">
        <v>646</v>
      </c>
      <c r="E10" s="21" t="s">
        <v>117</v>
      </c>
      <c r="F10" s="112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4"/>
      <c r="U10" s="4"/>
      <c r="V10" s="3"/>
      <c r="W10" s="3"/>
      <c r="X10" s="3"/>
      <c r="Y10" s="8"/>
      <c r="Z10" s="38"/>
      <c r="AA10" s="38"/>
      <c r="AB10" s="38"/>
      <c r="AC10" s="38"/>
    </row>
    <row r="11" spans="1:29" ht="15.9" customHeight="1" x14ac:dyDescent="0.6">
      <c r="A11" s="197">
        <v>6</v>
      </c>
      <c r="B11" s="29" t="s">
        <v>647</v>
      </c>
      <c r="C11" s="29" t="s">
        <v>23</v>
      </c>
      <c r="D11" s="29" t="s">
        <v>212</v>
      </c>
      <c r="E11" s="30" t="s">
        <v>213</v>
      </c>
      <c r="F11" s="107"/>
      <c r="G11" s="108"/>
      <c r="H11" s="108"/>
      <c r="I11" s="108"/>
      <c r="J11" s="108"/>
      <c r="K11" s="108"/>
      <c r="L11" s="108"/>
      <c r="M11" s="108"/>
      <c r="N11" s="108"/>
      <c r="O11" s="108"/>
      <c r="P11" s="108"/>
      <c r="Q11" s="108"/>
      <c r="R11" s="108"/>
      <c r="S11" s="108"/>
      <c r="T11" s="109"/>
      <c r="U11" s="9"/>
      <c r="V11" s="10"/>
      <c r="W11" s="10"/>
      <c r="X11" s="10"/>
      <c r="Y11" s="14"/>
      <c r="Z11" s="38"/>
      <c r="AA11" s="38"/>
      <c r="AB11" s="38"/>
      <c r="AC11" s="38"/>
    </row>
    <row r="12" spans="1:29" ht="15.9" customHeight="1" x14ac:dyDescent="0.6">
      <c r="A12" s="198">
        <v>7</v>
      </c>
      <c r="B12" s="28" t="s">
        <v>648</v>
      </c>
      <c r="C12" s="28" t="s">
        <v>23</v>
      </c>
      <c r="D12" s="28" t="s">
        <v>649</v>
      </c>
      <c r="E12" s="31" t="s">
        <v>224</v>
      </c>
      <c r="F12" s="110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11"/>
      <c r="U12" s="9"/>
      <c r="V12" s="10"/>
      <c r="W12" s="10"/>
      <c r="X12" s="10"/>
      <c r="Y12" s="14"/>
      <c r="Z12" s="38"/>
      <c r="AA12" s="38"/>
      <c r="AB12" s="38"/>
      <c r="AC12" s="38"/>
    </row>
    <row r="13" spans="1:29" ht="15.9" customHeight="1" x14ac:dyDescent="0.6">
      <c r="A13" s="198">
        <v>8</v>
      </c>
      <c r="B13" s="28" t="s">
        <v>650</v>
      </c>
      <c r="C13" s="28" t="s">
        <v>23</v>
      </c>
      <c r="D13" s="28" t="s">
        <v>48</v>
      </c>
      <c r="E13" s="31" t="s">
        <v>225</v>
      </c>
      <c r="F13" s="110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11"/>
      <c r="U13" s="1"/>
      <c r="V13" s="2"/>
      <c r="W13" s="2"/>
      <c r="X13" s="2"/>
      <c r="Y13" s="6"/>
      <c r="Z13" s="38"/>
      <c r="AA13" s="38"/>
      <c r="AB13" s="38"/>
      <c r="AC13" s="38"/>
    </row>
    <row r="14" spans="1:29" ht="15.9" customHeight="1" x14ac:dyDescent="0.6">
      <c r="A14" s="198">
        <v>9</v>
      </c>
      <c r="B14" s="28" t="s">
        <v>730</v>
      </c>
      <c r="C14" s="28" t="s">
        <v>23</v>
      </c>
      <c r="D14" s="28" t="s">
        <v>298</v>
      </c>
      <c r="E14" s="31" t="s">
        <v>299</v>
      </c>
      <c r="F14" s="110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87"/>
      <c r="R14" s="106"/>
      <c r="S14" s="106"/>
      <c r="T14" s="111"/>
      <c r="U14" s="1"/>
      <c r="W14" s="2"/>
      <c r="X14" s="2"/>
      <c r="Y14" s="6"/>
      <c r="Z14" s="38"/>
      <c r="AA14" s="38"/>
      <c r="AB14" s="38"/>
      <c r="AC14" s="38"/>
    </row>
    <row r="15" spans="1:29" ht="15.9" customHeight="1" thickBot="1" x14ac:dyDescent="0.65">
      <c r="A15" s="199">
        <v>10</v>
      </c>
      <c r="B15" s="20" t="s">
        <v>991</v>
      </c>
      <c r="C15" s="20" t="s">
        <v>23</v>
      </c>
      <c r="D15" s="20" t="s">
        <v>992</v>
      </c>
      <c r="E15" s="21" t="s">
        <v>993</v>
      </c>
      <c r="F15" s="112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4"/>
      <c r="U15" s="26"/>
      <c r="V15" s="27"/>
      <c r="W15" s="27"/>
      <c r="X15" s="27"/>
      <c r="Y15" s="23"/>
      <c r="Z15" s="38"/>
      <c r="AA15" s="38"/>
      <c r="AB15" s="38"/>
      <c r="AC15" s="38"/>
    </row>
    <row r="16" spans="1:29" ht="15.9" customHeight="1" thickBot="1" x14ac:dyDescent="0.65">
      <c r="A16" s="197">
        <v>11</v>
      </c>
      <c r="B16" s="29" t="s">
        <v>994</v>
      </c>
      <c r="C16" s="29" t="s">
        <v>23</v>
      </c>
      <c r="D16" s="29" t="s">
        <v>995</v>
      </c>
      <c r="E16" s="30" t="s">
        <v>996</v>
      </c>
      <c r="F16" s="107"/>
      <c r="G16" s="108"/>
      <c r="H16" s="108"/>
      <c r="I16" s="108"/>
      <c r="J16" s="108"/>
      <c r="K16" s="108"/>
      <c r="L16" s="108"/>
      <c r="M16" s="108"/>
      <c r="N16" s="108"/>
      <c r="O16" s="108"/>
      <c r="P16" s="108"/>
      <c r="Q16" s="108"/>
      <c r="R16" s="108"/>
      <c r="S16" s="108"/>
      <c r="T16" s="109"/>
      <c r="U16" s="4"/>
      <c r="V16" s="3"/>
      <c r="W16" s="3"/>
      <c r="X16" s="3"/>
      <c r="Y16" s="8"/>
      <c r="Z16" s="38"/>
      <c r="AA16" s="38"/>
      <c r="AB16" s="38"/>
      <c r="AC16" s="38"/>
    </row>
    <row r="17" spans="1:29" ht="15.9" customHeight="1" x14ac:dyDescent="0.6">
      <c r="A17" s="198">
        <v>12</v>
      </c>
      <c r="B17" s="28" t="s">
        <v>652</v>
      </c>
      <c r="C17" s="28" t="s">
        <v>24</v>
      </c>
      <c r="D17" s="28" t="s">
        <v>220</v>
      </c>
      <c r="E17" s="31" t="s">
        <v>221</v>
      </c>
      <c r="F17" s="110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11"/>
      <c r="U17" s="9"/>
      <c r="V17" s="10"/>
      <c r="W17" s="10"/>
      <c r="X17" s="10"/>
      <c r="Y17" s="14"/>
      <c r="Z17" s="38"/>
      <c r="AA17" s="38"/>
      <c r="AB17" s="38"/>
      <c r="AC17" s="38"/>
    </row>
    <row r="18" spans="1:29" ht="15.9" customHeight="1" x14ac:dyDescent="0.6">
      <c r="A18" s="198">
        <v>13</v>
      </c>
      <c r="B18" s="28" t="s">
        <v>653</v>
      </c>
      <c r="C18" s="28" t="s">
        <v>24</v>
      </c>
      <c r="D18" s="28" t="s">
        <v>654</v>
      </c>
      <c r="E18" s="31" t="s">
        <v>238</v>
      </c>
      <c r="F18" s="110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11"/>
      <c r="U18" s="1"/>
      <c r="V18" s="2"/>
      <c r="W18" s="2"/>
      <c r="X18" s="2"/>
      <c r="Y18" s="6"/>
      <c r="Z18" s="38"/>
      <c r="AA18" s="38"/>
      <c r="AB18" s="38"/>
      <c r="AC18" s="38"/>
    </row>
    <row r="19" spans="1:29" ht="15.9" customHeight="1" x14ac:dyDescent="0.6">
      <c r="A19" s="198">
        <v>14</v>
      </c>
      <c r="B19" s="28" t="s">
        <v>655</v>
      </c>
      <c r="C19" s="28" t="s">
        <v>24</v>
      </c>
      <c r="D19" s="28" t="s">
        <v>181</v>
      </c>
      <c r="E19" s="31" t="s">
        <v>231</v>
      </c>
      <c r="F19" s="110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11"/>
      <c r="U19" s="1"/>
      <c r="V19" s="2"/>
      <c r="W19" s="2"/>
      <c r="X19" s="2"/>
      <c r="Y19" s="6"/>
      <c r="Z19" s="38"/>
      <c r="AA19" s="38"/>
      <c r="AB19" s="38"/>
      <c r="AC19" s="38"/>
    </row>
    <row r="20" spans="1:29" ht="15.9" customHeight="1" thickBot="1" x14ac:dyDescent="0.65">
      <c r="A20" s="199">
        <v>15</v>
      </c>
      <c r="B20" s="20" t="s">
        <v>656</v>
      </c>
      <c r="C20" s="20" t="s">
        <v>24</v>
      </c>
      <c r="D20" s="20" t="s">
        <v>229</v>
      </c>
      <c r="E20" s="21" t="s">
        <v>657</v>
      </c>
      <c r="F20" s="112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4"/>
      <c r="U20" s="1"/>
      <c r="V20" s="2"/>
      <c r="W20" s="2"/>
      <c r="X20" s="2"/>
      <c r="Y20" s="6"/>
      <c r="Z20" s="38"/>
      <c r="AA20" s="38"/>
      <c r="AB20" s="38"/>
      <c r="AC20" s="38"/>
    </row>
    <row r="21" spans="1:29" ht="15.9" customHeight="1" thickBot="1" x14ac:dyDescent="0.65">
      <c r="A21" s="197">
        <v>16</v>
      </c>
      <c r="B21" s="29" t="s">
        <v>658</v>
      </c>
      <c r="C21" s="29" t="s">
        <v>24</v>
      </c>
      <c r="D21" s="29" t="s">
        <v>659</v>
      </c>
      <c r="E21" s="30" t="s">
        <v>232</v>
      </c>
      <c r="F21" s="107"/>
      <c r="G21" s="108"/>
      <c r="H21" s="108"/>
      <c r="I21" s="108"/>
      <c r="J21" s="108"/>
      <c r="K21" s="108"/>
      <c r="L21" s="108"/>
      <c r="M21" s="108"/>
      <c r="N21" s="108"/>
      <c r="O21" s="108"/>
      <c r="P21" s="108"/>
      <c r="Q21" s="108"/>
      <c r="R21" s="108"/>
      <c r="S21" s="108"/>
      <c r="T21" s="109"/>
      <c r="U21" s="4"/>
      <c r="V21" s="3"/>
      <c r="W21" s="3"/>
      <c r="X21" s="3"/>
      <c r="Y21" s="8"/>
      <c r="Z21" s="38"/>
      <c r="AA21" s="38"/>
      <c r="AB21" s="38"/>
      <c r="AC21" s="38"/>
    </row>
    <row r="22" spans="1:29" ht="15.9" customHeight="1" thickBot="1" x14ac:dyDescent="0.65">
      <c r="A22" s="198">
        <v>17</v>
      </c>
      <c r="B22" s="28" t="s">
        <v>660</v>
      </c>
      <c r="C22" s="28" t="s">
        <v>24</v>
      </c>
      <c r="D22" s="28" t="s">
        <v>218</v>
      </c>
      <c r="E22" s="31" t="s">
        <v>219</v>
      </c>
      <c r="F22" s="110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11"/>
      <c r="U22" s="61"/>
      <c r="V22" s="62"/>
      <c r="W22" s="62"/>
      <c r="X22" s="62"/>
      <c r="Y22" s="63"/>
      <c r="Z22" s="38"/>
      <c r="AA22" s="38"/>
      <c r="AB22" s="38"/>
      <c r="AC22" s="38"/>
    </row>
    <row r="23" spans="1:29" ht="15.9" customHeight="1" x14ac:dyDescent="0.6">
      <c r="A23" s="198">
        <v>18</v>
      </c>
      <c r="B23" s="28" t="s">
        <v>661</v>
      </c>
      <c r="C23" s="28" t="s">
        <v>24</v>
      </c>
      <c r="D23" s="28" t="s">
        <v>229</v>
      </c>
      <c r="E23" s="31" t="s">
        <v>230</v>
      </c>
      <c r="F23" s="110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11"/>
      <c r="U23" s="24"/>
      <c r="V23" s="12"/>
      <c r="W23" s="12"/>
      <c r="X23" s="12"/>
      <c r="Y23" s="13"/>
      <c r="Z23" s="38"/>
      <c r="AA23" s="38"/>
      <c r="AB23" s="38"/>
      <c r="AC23" s="38"/>
    </row>
    <row r="24" spans="1:29" ht="15.9" customHeight="1" x14ac:dyDescent="0.6">
      <c r="A24" s="198">
        <v>19</v>
      </c>
      <c r="B24" s="28" t="s">
        <v>735</v>
      </c>
      <c r="C24" s="28" t="s">
        <v>24</v>
      </c>
      <c r="D24" s="28" t="s">
        <v>308</v>
      </c>
      <c r="E24" s="31" t="s">
        <v>309</v>
      </c>
      <c r="F24" s="110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6"/>
      <c r="R24" s="106"/>
      <c r="S24" s="106"/>
      <c r="T24" s="111"/>
      <c r="U24" s="1"/>
      <c r="V24" s="2"/>
      <c r="W24" s="2"/>
      <c r="X24" s="2"/>
      <c r="Y24" s="6"/>
      <c r="Z24" s="38"/>
      <c r="AA24" s="38"/>
      <c r="AB24" s="38"/>
      <c r="AC24" s="38"/>
    </row>
    <row r="25" spans="1:29" ht="15.9" customHeight="1" thickBot="1" x14ac:dyDescent="0.65">
      <c r="A25" s="199">
        <v>20</v>
      </c>
      <c r="B25" s="20" t="s">
        <v>662</v>
      </c>
      <c r="C25" s="20" t="s">
        <v>24</v>
      </c>
      <c r="D25" s="20" t="s">
        <v>227</v>
      </c>
      <c r="E25" s="21" t="s">
        <v>228</v>
      </c>
      <c r="F25" s="112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4"/>
      <c r="U25" s="1"/>
      <c r="V25" s="2"/>
      <c r="W25" s="2"/>
      <c r="X25" s="2"/>
      <c r="Y25" s="6"/>
      <c r="Z25" s="38"/>
      <c r="AA25" s="38"/>
      <c r="AB25" s="38"/>
      <c r="AC25" s="38"/>
    </row>
    <row r="26" spans="1:29" ht="15.9" customHeight="1" x14ac:dyDescent="0.6">
      <c r="A26" s="197">
        <v>21</v>
      </c>
      <c r="B26" s="29" t="s">
        <v>737</v>
      </c>
      <c r="C26" s="29" t="s">
        <v>24</v>
      </c>
      <c r="D26" s="29" t="s">
        <v>310</v>
      </c>
      <c r="E26" s="30" t="s">
        <v>311</v>
      </c>
      <c r="F26" s="107"/>
      <c r="G26" s="108"/>
      <c r="H26" s="108"/>
      <c r="I26" s="108"/>
      <c r="J26" s="108"/>
      <c r="K26" s="108"/>
      <c r="L26" s="108"/>
      <c r="M26" s="108"/>
      <c r="N26" s="108"/>
      <c r="O26" s="108"/>
      <c r="P26" s="108"/>
      <c r="Q26" s="108"/>
      <c r="R26" s="108"/>
      <c r="S26" s="108"/>
      <c r="T26" s="109"/>
      <c r="U26" s="1"/>
      <c r="V26" s="2"/>
      <c r="W26" s="2"/>
      <c r="X26" s="2"/>
      <c r="Y26" s="6"/>
      <c r="Z26" s="38"/>
      <c r="AA26" s="38"/>
      <c r="AB26" s="38"/>
      <c r="AC26" s="38"/>
    </row>
    <row r="27" spans="1:29" ht="15.9" customHeight="1" thickBot="1" x14ac:dyDescent="0.65">
      <c r="A27" s="198">
        <v>22</v>
      </c>
      <c r="B27" s="28" t="s">
        <v>663</v>
      </c>
      <c r="C27" s="28" t="s">
        <v>24</v>
      </c>
      <c r="D27" s="28" t="s">
        <v>233</v>
      </c>
      <c r="E27" s="31" t="s">
        <v>234</v>
      </c>
      <c r="F27" s="110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11"/>
      <c r="U27" s="4"/>
      <c r="V27" s="3"/>
      <c r="W27" s="3"/>
      <c r="X27" s="3"/>
      <c r="Y27" s="8"/>
      <c r="Z27" s="38"/>
      <c r="AA27" s="38"/>
      <c r="AB27" s="38"/>
      <c r="AC27" s="38"/>
    </row>
    <row r="28" spans="1:29" ht="15.9" customHeight="1" x14ac:dyDescent="0.6">
      <c r="A28" s="198">
        <v>23</v>
      </c>
      <c r="B28" s="28" t="s">
        <v>664</v>
      </c>
      <c r="C28" s="28" t="s">
        <v>24</v>
      </c>
      <c r="D28" s="28" t="s">
        <v>43</v>
      </c>
      <c r="E28" s="31" t="s">
        <v>300</v>
      </c>
      <c r="F28" s="110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11"/>
      <c r="U28" s="24"/>
      <c r="V28" s="12"/>
      <c r="W28" s="12"/>
      <c r="X28" s="12"/>
      <c r="Y28" s="13"/>
      <c r="Z28" s="38"/>
      <c r="AA28" s="38"/>
      <c r="AB28" s="38"/>
      <c r="AC28" s="38"/>
    </row>
    <row r="29" spans="1:29" ht="15.9" customHeight="1" x14ac:dyDescent="0.6">
      <c r="A29" s="198">
        <v>24</v>
      </c>
      <c r="B29" s="28" t="s">
        <v>665</v>
      </c>
      <c r="C29" s="28" t="s">
        <v>24</v>
      </c>
      <c r="D29" s="28" t="s">
        <v>235</v>
      </c>
      <c r="E29" s="31" t="s">
        <v>153</v>
      </c>
      <c r="F29" s="110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6"/>
      <c r="T29" s="111"/>
      <c r="U29" s="1"/>
      <c r="V29" s="2"/>
      <c r="W29" s="2"/>
      <c r="X29" s="2"/>
      <c r="Y29" s="6"/>
      <c r="Z29" s="38"/>
      <c r="AA29" s="38"/>
      <c r="AB29" s="38"/>
      <c r="AC29" s="38"/>
    </row>
    <row r="30" spans="1:29" ht="15.9" customHeight="1" thickBot="1" x14ac:dyDescent="0.65">
      <c r="A30" s="199">
        <v>25</v>
      </c>
      <c r="B30" s="20" t="s">
        <v>666</v>
      </c>
      <c r="C30" s="20" t="s">
        <v>24</v>
      </c>
      <c r="D30" s="20" t="s">
        <v>667</v>
      </c>
      <c r="E30" s="21" t="s">
        <v>226</v>
      </c>
      <c r="F30" s="112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4"/>
      <c r="U30" s="1"/>
      <c r="V30" s="2"/>
      <c r="W30" s="2"/>
      <c r="X30" s="2"/>
      <c r="Y30" s="6"/>
      <c r="Z30" s="38"/>
      <c r="AA30" s="38"/>
      <c r="AB30" s="38"/>
      <c r="AC30" s="38"/>
    </row>
    <row r="31" spans="1:29" ht="15.9" customHeight="1" x14ac:dyDescent="0.6">
      <c r="A31" s="197">
        <v>26</v>
      </c>
      <c r="B31" s="29" t="s">
        <v>668</v>
      </c>
      <c r="C31" s="29" t="s">
        <v>24</v>
      </c>
      <c r="D31" s="29" t="s">
        <v>236</v>
      </c>
      <c r="E31" s="30" t="s">
        <v>237</v>
      </c>
      <c r="F31" s="107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9"/>
      <c r="U31" s="1"/>
      <c r="V31" s="2"/>
      <c r="W31" s="2"/>
      <c r="X31" s="2"/>
      <c r="Y31" s="6"/>
      <c r="Z31" s="38"/>
      <c r="AA31" s="38"/>
      <c r="AB31" s="38"/>
      <c r="AC31" s="38"/>
    </row>
    <row r="32" spans="1:29" ht="15.9" customHeight="1" thickBot="1" x14ac:dyDescent="0.65">
      <c r="A32" s="198">
        <v>27</v>
      </c>
      <c r="B32" s="28" t="s">
        <v>669</v>
      </c>
      <c r="C32" s="28" t="s">
        <v>24</v>
      </c>
      <c r="D32" s="28" t="s">
        <v>239</v>
      </c>
      <c r="E32" s="31" t="s">
        <v>240</v>
      </c>
      <c r="F32" s="110"/>
      <c r="G32" s="106"/>
      <c r="H32" s="106"/>
      <c r="I32" s="106"/>
      <c r="J32" s="106"/>
      <c r="K32" s="106"/>
      <c r="L32" s="106"/>
      <c r="M32" s="106"/>
      <c r="N32" s="106"/>
      <c r="O32" s="106"/>
      <c r="P32" s="106"/>
      <c r="Q32" s="106"/>
      <c r="R32" s="106"/>
      <c r="S32" s="106"/>
      <c r="T32" s="111"/>
      <c r="U32" s="1"/>
      <c r="V32" s="2"/>
      <c r="W32" s="2"/>
      <c r="X32" s="2"/>
      <c r="Y32" s="6"/>
      <c r="Z32" s="38"/>
      <c r="AA32" s="38"/>
      <c r="AB32" s="38"/>
      <c r="AC32" s="38"/>
    </row>
    <row r="33" spans="1:29" ht="15.9" customHeight="1" x14ac:dyDescent="0.6">
      <c r="A33" s="198">
        <v>28</v>
      </c>
      <c r="B33" s="28" t="s">
        <v>670</v>
      </c>
      <c r="C33" s="28" t="s">
        <v>24</v>
      </c>
      <c r="D33" s="28" t="s">
        <v>241</v>
      </c>
      <c r="E33" s="31" t="s">
        <v>242</v>
      </c>
      <c r="F33" s="110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6"/>
      <c r="S33" s="106"/>
      <c r="T33" s="111"/>
      <c r="U33" s="24"/>
      <c r="V33" s="12"/>
      <c r="W33" s="12"/>
      <c r="X33" s="12"/>
      <c r="Y33" s="13"/>
      <c r="Z33" s="38"/>
      <c r="AA33" s="38"/>
      <c r="AB33" s="38"/>
      <c r="AC33" s="38"/>
    </row>
    <row r="34" spans="1:29" ht="15.9" customHeight="1" thickBot="1" x14ac:dyDescent="0.65">
      <c r="A34" s="199">
        <v>29</v>
      </c>
      <c r="B34" s="20" t="s">
        <v>671</v>
      </c>
      <c r="C34" s="20" t="s">
        <v>24</v>
      </c>
      <c r="D34" s="20" t="s">
        <v>672</v>
      </c>
      <c r="E34" s="21" t="s">
        <v>243</v>
      </c>
      <c r="F34" s="112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4"/>
      <c r="U34" s="1"/>
      <c r="V34" s="2"/>
      <c r="W34" s="2"/>
      <c r="X34" s="2"/>
      <c r="Y34" s="6"/>
      <c r="Z34" s="38"/>
      <c r="AA34" s="38"/>
      <c r="AB34" s="38"/>
      <c r="AC34" s="38"/>
    </row>
    <row r="35" spans="1:29" ht="15.9" customHeight="1" x14ac:dyDescent="0.6">
      <c r="A35" s="250"/>
      <c r="B35" s="251"/>
      <c r="C35" s="252"/>
      <c r="D35" s="168"/>
      <c r="E35" s="247"/>
      <c r="F35" s="107"/>
      <c r="G35" s="108"/>
      <c r="H35" s="108"/>
      <c r="I35" s="108"/>
      <c r="J35" s="108"/>
      <c r="K35" s="108"/>
      <c r="L35" s="108"/>
      <c r="M35" s="108"/>
      <c r="N35" s="108"/>
      <c r="O35" s="108"/>
      <c r="P35" s="108"/>
      <c r="Q35" s="108"/>
      <c r="R35" s="108"/>
      <c r="S35" s="108"/>
      <c r="T35" s="109"/>
      <c r="U35" s="1"/>
      <c r="V35" s="2"/>
      <c r="W35" s="2"/>
      <c r="X35" s="2"/>
      <c r="Y35" s="6"/>
      <c r="Z35" s="38"/>
      <c r="AA35" s="38"/>
      <c r="AB35" s="38"/>
      <c r="AC35" s="38"/>
    </row>
    <row r="36" spans="1:29" ht="15.9" customHeight="1" x14ac:dyDescent="0.6">
      <c r="A36" s="198"/>
      <c r="B36" s="182"/>
      <c r="C36" s="32"/>
      <c r="D36" s="28"/>
      <c r="E36" s="31"/>
      <c r="F36" s="110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6"/>
      <c r="T36" s="111"/>
      <c r="U36" s="1"/>
      <c r="V36" s="2"/>
      <c r="W36" s="2"/>
      <c r="X36" s="2"/>
      <c r="Y36" s="6"/>
      <c r="Z36" s="38"/>
      <c r="AA36" s="38"/>
      <c r="AB36" s="38"/>
      <c r="AC36" s="38"/>
    </row>
    <row r="37" spans="1:29" ht="15.9" customHeight="1" thickBot="1" x14ac:dyDescent="0.65">
      <c r="A37" s="198"/>
      <c r="B37" s="203"/>
      <c r="C37" s="201"/>
      <c r="D37" s="87"/>
      <c r="E37" s="209"/>
      <c r="F37" s="110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11"/>
      <c r="U37" s="4"/>
      <c r="V37" s="3"/>
      <c r="W37" s="3"/>
      <c r="X37" s="3"/>
      <c r="Y37" s="8"/>
      <c r="Z37" s="38"/>
      <c r="AA37" s="38"/>
      <c r="AB37" s="38"/>
      <c r="AC37" s="38"/>
    </row>
    <row r="38" spans="1:29" ht="15.9" customHeight="1" x14ac:dyDescent="0.6">
      <c r="A38" s="198"/>
      <c r="B38" s="203"/>
      <c r="C38" s="201"/>
      <c r="D38" s="87"/>
      <c r="E38" s="209"/>
      <c r="F38" s="201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209"/>
      <c r="U38" s="32"/>
      <c r="V38" s="28"/>
      <c r="W38" s="28"/>
      <c r="X38" s="28"/>
      <c r="Y38" s="31"/>
      <c r="Z38" s="38"/>
      <c r="AA38" s="38"/>
      <c r="AB38" s="38"/>
      <c r="AC38" s="38"/>
    </row>
    <row r="39" spans="1:29" ht="15.9" customHeight="1" thickBot="1" x14ac:dyDescent="0.65">
      <c r="A39" s="199"/>
      <c r="B39" s="204"/>
      <c r="C39" s="202"/>
      <c r="D39" s="196"/>
      <c r="E39" s="211"/>
      <c r="F39" s="202"/>
      <c r="G39" s="196"/>
      <c r="H39" s="196"/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211"/>
      <c r="U39" s="32"/>
      <c r="V39" s="28"/>
      <c r="W39" s="28"/>
      <c r="X39" s="28"/>
      <c r="Y39" s="31"/>
      <c r="Z39" s="38"/>
      <c r="AA39" s="38"/>
      <c r="AB39" s="38"/>
      <c r="AC39" s="38"/>
    </row>
    <row r="40" spans="1:29" ht="15.9" customHeight="1" x14ac:dyDescent="0.6">
      <c r="A40" s="118" t="s">
        <v>20</v>
      </c>
      <c r="B40" s="119" cm="1">
        <f t="array" ref="B40">SUM(COUNTIF(C6:C39,{"นาย","เด็กชาย"}))</f>
        <v>11</v>
      </c>
      <c r="C40" s="120" t="s">
        <v>21</v>
      </c>
      <c r="D40" s="119" cm="1">
        <f t="array" ref="D40">SUM(COUNTIF(C6:C39,{"นางสาว","เด็กหญิง"}))</f>
        <v>18</v>
      </c>
      <c r="E40" s="118" t="s">
        <v>22</v>
      </c>
      <c r="F40" s="88">
        <f>B40+D40</f>
        <v>29</v>
      </c>
      <c r="U40" s="15"/>
      <c r="V40" s="15"/>
      <c r="W40" s="15"/>
      <c r="X40" s="15"/>
    </row>
  </sheetData>
  <sortState xmlns:xlrd2="http://schemas.microsoft.com/office/spreadsheetml/2017/richdata2" ref="C31:E35">
    <sortCondition ref="D31:D35"/>
  </sortState>
  <mergeCells count="26">
    <mergeCell ref="Y4:Y5"/>
    <mergeCell ref="N4:N5"/>
    <mergeCell ref="O4:O5"/>
    <mergeCell ref="P4:P5"/>
    <mergeCell ref="Q4:Q5"/>
    <mergeCell ref="R4:R5"/>
    <mergeCell ref="X4:X5"/>
    <mergeCell ref="S4:S5"/>
    <mergeCell ref="T4:T5"/>
    <mergeCell ref="U4:U5"/>
    <mergeCell ref="V4:V5"/>
    <mergeCell ref="W4:W5"/>
    <mergeCell ref="A1:T1"/>
    <mergeCell ref="C4:E5"/>
    <mergeCell ref="F4:F5"/>
    <mergeCell ref="G4:G5"/>
    <mergeCell ref="H4:H5"/>
    <mergeCell ref="I4:I5"/>
    <mergeCell ref="J4:J5"/>
    <mergeCell ref="K4:K5"/>
    <mergeCell ref="L4:L5"/>
    <mergeCell ref="M4:M5"/>
    <mergeCell ref="A2:C2"/>
    <mergeCell ref="F2:O2"/>
    <mergeCell ref="F3:O3"/>
    <mergeCell ref="B3:D3"/>
  </mergeCells>
  <printOptions horizontalCentered="1"/>
  <pageMargins left="0.39370078740157483" right="0" top="0.39370078740157483" bottom="0" header="0.31496062992125984" footer="0.31496062992125984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53"/>
  <sheetViews>
    <sheetView workbookViewId="0">
      <selection activeCell="AF30" sqref="AF30"/>
    </sheetView>
  </sheetViews>
  <sheetFormatPr defaultRowHeight="15.9" customHeight="1" x14ac:dyDescent="0.25"/>
  <cols>
    <col min="1" max="1" width="4.69921875" style="67" customWidth="1"/>
    <col min="2" max="2" width="6.09765625" style="67" customWidth="1"/>
    <col min="3" max="3" width="7.8984375" style="67" customWidth="1"/>
    <col min="4" max="4" width="11.8984375" style="67" customWidth="1"/>
    <col min="5" max="5" width="14.09765625" style="67" customWidth="1"/>
    <col min="6" max="20" width="2.69921875" style="67" customWidth="1"/>
    <col min="21" max="25" width="2.69921875" hidden="1" customWidth="1"/>
    <col min="26" max="27" width="0" hidden="1" customWidth="1"/>
  </cols>
  <sheetData>
    <row r="1" spans="1:25" ht="15.9" customHeight="1" x14ac:dyDescent="0.6">
      <c r="A1" s="318" t="s">
        <v>1001</v>
      </c>
      <c r="B1" s="318"/>
      <c r="C1" s="318"/>
      <c r="D1" s="318"/>
      <c r="E1" s="318"/>
      <c r="F1" s="318"/>
      <c r="G1" s="318"/>
      <c r="H1" s="318"/>
      <c r="I1" s="318"/>
      <c r="J1" s="318"/>
      <c r="K1" s="318"/>
      <c r="L1" s="318"/>
      <c r="M1" s="318"/>
      <c r="N1" s="318"/>
      <c r="O1" s="318"/>
      <c r="P1" s="318"/>
      <c r="Q1" s="318"/>
      <c r="R1" s="318"/>
      <c r="S1" s="318"/>
      <c r="T1" s="318"/>
      <c r="U1" s="16"/>
      <c r="V1" s="16"/>
      <c r="W1" s="16"/>
      <c r="X1" s="16"/>
      <c r="Y1" s="16"/>
    </row>
    <row r="2" spans="1:25" s="19" customFormat="1" ht="15.9" customHeight="1" x14ac:dyDescent="0.6">
      <c r="A2" s="320" t="s">
        <v>5</v>
      </c>
      <c r="B2" s="320"/>
      <c r="C2" s="320"/>
      <c r="D2" s="264">
        <v>605</v>
      </c>
      <c r="E2" s="264" t="s">
        <v>6</v>
      </c>
      <c r="F2" s="319" t="s">
        <v>931</v>
      </c>
      <c r="G2" s="319"/>
      <c r="H2" s="319"/>
      <c r="I2" s="319"/>
      <c r="J2" s="319"/>
      <c r="K2" s="319"/>
      <c r="L2" s="319"/>
      <c r="M2" s="319"/>
      <c r="N2" s="319"/>
      <c r="O2" s="319"/>
      <c r="P2" s="319"/>
      <c r="Q2" s="319"/>
      <c r="R2" s="319"/>
      <c r="S2" s="319"/>
      <c r="T2" s="319"/>
      <c r="U2" s="16"/>
      <c r="V2" s="16"/>
      <c r="W2" s="16"/>
      <c r="X2" s="16"/>
      <c r="Y2" s="16"/>
    </row>
    <row r="3" spans="1:25" s="19" customFormat="1" ht="15.9" customHeight="1" thickBot="1" x14ac:dyDescent="0.65">
      <c r="A3" s="268"/>
      <c r="B3" s="319" t="s">
        <v>919</v>
      </c>
      <c r="C3" s="319"/>
      <c r="D3" s="319"/>
      <c r="E3" s="69"/>
      <c r="F3" s="319" t="s">
        <v>932</v>
      </c>
      <c r="G3" s="319"/>
      <c r="H3" s="319"/>
      <c r="I3" s="319"/>
      <c r="J3" s="319"/>
      <c r="K3" s="319"/>
      <c r="L3" s="319"/>
      <c r="M3" s="319"/>
      <c r="N3" s="319"/>
      <c r="O3" s="319"/>
      <c r="P3" s="319"/>
      <c r="Q3" s="319"/>
      <c r="R3" s="319"/>
      <c r="S3" s="319"/>
      <c r="T3" s="319"/>
      <c r="U3" s="16"/>
      <c r="V3" s="16"/>
      <c r="W3" s="16"/>
      <c r="X3" s="16"/>
      <c r="Y3" s="16"/>
    </row>
    <row r="4" spans="1:25" ht="15.9" customHeight="1" x14ac:dyDescent="0.25">
      <c r="A4" s="282" t="s">
        <v>1</v>
      </c>
      <c r="B4" s="276" t="s">
        <v>2</v>
      </c>
      <c r="C4" s="306" t="s">
        <v>3</v>
      </c>
      <c r="D4" s="306"/>
      <c r="E4" s="307"/>
      <c r="F4" s="310"/>
      <c r="G4" s="306"/>
      <c r="H4" s="306"/>
      <c r="I4" s="306"/>
      <c r="J4" s="306"/>
      <c r="K4" s="306"/>
      <c r="L4" s="306"/>
      <c r="M4" s="306"/>
      <c r="N4" s="306"/>
      <c r="O4" s="306"/>
      <c r="P4" s="306"/>
      <c r="Q4" s="306"/>
      <c r="R4" s="306"/>
      <c r="S4" s="306"/>
      <c r="T4" s="307"/>
      <c r="U4" s="325"/>
      <c r="V4" s="323"/>
      <c r="W4" s="323"/>
      <c r="X4" s="323"/>
      <c r="Y4" s="321"/>
    </row>
    <row r="5" spans="1:25" ht="15.9" customHeight="1" thickBot="1" x14ac:dyDescent="0.3">
      <c r="A5" s="283" t="s">
        <v>0</v>
      </c>
      <c r="B5" s="277" t="s">
        <v>4</v>
      </c>
      <c r="C5" s="308"/>
      <c r="D5" s="308"/>
      <c r="E5" s="309"/>
      <c r="F5" s="311"/>
      <c r="G5" s="308"/>
      <c r="H5" s="308"/>
      <c r="I5" s="308"/>
      <c r="J5" s="308"/>
      <c r="K5" s="308"/>
      <c r="L5" s="308"/>
      <c r="M5" s="308"/>
      <c r="N5" s="308"/>
      <c r="O5" s="308"/>
      <c r="P5" s="308"/>
      <c r="Q5" s="308"/>
      <c r="R5" s="308"/>
      <c r="S5" s="308"/>
      <c r="T5" s="309"/>
      <c r="U5" s="326"/>
      <c r="V5" s="324"/>
      <c r="W5" s="324"/>
      <c r="X5" s="324"/>
      <c r="Y5" s="322"/>
    </row>
    <row r="6" spans="1:25" ht="15.9" customHeight="1" x14ac:dyDescent="0.6">
      <c r="A6" s="152">
        <v>1</v>
      </c>
      <c r="B6" s="29" t="s">
        <v>673</v>
      </c>
      <c r="C6" s="29" t="s">
        <v>23</v>
      </c>
      <c r="D6" s="29" t="s">
        <v>35</v>
      </c>
      <c r="E6" s="30" t="s">
        <v>246</v>
      </c>
      <c r="F6" s="90"/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2"/>
      <c r="U6" s="24"/>
      <c r="V6" s="12"/>
      <c r="W6" s="12"/>
      <c r="X6" s="12"/>
      <c r="Y6" s="13"/>
    </row>
    <row r="7" spans="1:25" ht="15.9" customHeight="1" x14ac:dyDescent="0.6">
      <c r="A7" s="212">
        <v>2</v>
      </c>
      <c r="B7" s="28" t="s">
        <v>674</v>
      </c>
      <c r="C7" s="28" t="s">
        <v>23</v>
      </c>
      <c r="D7" s="28" t="s">
        <v>244</v>
      </c>
      <c r="E7" s="31" t="s">
        <v>245</v>
      </c>
      <c r="F7" s="93"/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94"/>
      <c r="U7" s="1"/>
      <c r="V7" s="2"/>
      <c r="W7" s="2"/>
      <c r="X7" s="2"/>
      <c r="Y7" s="6"/>
    </row>
    <row r="8" spans="1:25" ht="15.9" customHeight="1" x14ac:dyDescent="0.6">
      <c r="A8" s="212">
        <v>3</v>
      </c>
      <c r="B8" s="28" t="s">
        <v>675</v>
      </c>
      <c r="C8" s="28" t="s">
        <v>23</v>
      </c>
      <c r="D8" s="28" t="s">
        <v>16</v>
      </c>
      <c r="E8" s="31" t="s">
        <v>247</v>
      </c>
      <c r="F8" s="93"/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94"/>
      <c r="U8" s="1"/>
      <c r="V8" s="2"/>
      <c r="W8" s="2"/>
      <c r="X8" s="2"/>
      <c r="Y8" s="6"/>
    </row>
    <row r="9" spans="1:25" ht="15.9" customHeight="1" x14ac:dyDescent="0.6">
      <c r="A9" s="212">
        <v>4</v>
      </c>
      <c r="B9" s="28" t="s">
        <v>723</v>
      </c>
      <c r="C9" s="28" t="s">
        <v>23</v>
      </c>
      <c r="D9" s="28" t="s">
        <v>289</v>
      </c>
      <c r="E9" s="31" t="s">
        <v>9</v>
      </c>
      <c r="F9" s="93"/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94"/>
      <c r="U9" s="1"/>
      <c r="V9" s="2"/>
      <c r="W9" s="2"/>
      <c r="X9" s="2"/>
      <c r="Y9" s="6"/>
    </row>
    <row r="10" spans="1:25" ht="15.9" customHeight="1" thickBot="1" x14ac:dyDescent="0.65">
      <c r="A10" s="154">
        <v>5</v>
      </c>
      <c r="B10" s="20" t="s">
        <v>676</v>
      </c>
      <c r="C10" s="20" t="s">
        <v>23</v>
      </c>
      <c r="D10" s="20" t="s">
        <v>278</v>
      </c>
      <c r="E10" s="21" t="s">
        <v>279</v>
      </c>
      <c r="F10" s="96"/>
      <c r="G10" s="97"/>
      <c r="H10" s="97"/>
      <c r="I10" s="97"/>
      <c r="J10" s="97"/>
      <c r="K10" s="97"/>
      <c r="L10" s="97"/>
      <c r="M10" s="97"/>
      <c r="N10" s="97"/>
      <c r="O10" s="97"/>
      <c r="P10" s="97"/>
      <c r="Q10" s="97"/>
      <c r="R10" s="97"/>
      <c r="S10" s="97"/>
      <c r="T10" s="98"/>
      <c r="U10" s="4"/>
      <c r="V10" s="3"/>
      <c r="W10" s="3"/>
      <c r="X10" s="3"/>
      <c r="Y10" s="8"/>
    </row>
    <row r="11" spans="1:25" ht="15.9" customHeight="1" x14ac:dyDescent="0.6">
      <c r="A11" s="152">
        <v>6</v>
      </c>
      <c r="B11" s="29" t="s">
        <v>677</v>
      </c>
      <c r="C11" s="29" t="s">
        <v>23</v>
      </c>
      <c r="D11" s="29" t="s">
        <v>457</v>
      </c>
      <c r="E11" s="30" t="s">
        <v>28</v>
      </c>
      <c r="F11" s="90"/>
      <c r="G11" s="91"/>
      <c r="H11" s="91"/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2"/>
      <c r="U11" s="24"/>
      <c r="V11" s="12"/>
      <c r="W11" s="12"/>
      <c r="X11" s="12"/>
      <c r="Y11" s="13"/>
    </row>
    <row r="12" spans="1:25" ht="15.9" customHeight="1" x14ac:dyDescent="0.6">
      <c r="A12" s="212">
        <v>7</v>
      </c>
      <c r="B12" s="28" t="s">
        <v>678</v>
      </c>
      <c r="C12" s="28" t="s">
        <v>23</v>
      </c>
      <c r="D12" s="28" t="s">
        <v>286</v>
      </c>
      <c r="E12" s="31" t="s">
        <v>679</v>
      </c>
      <c r="F12" s="93"/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94"/>
      <c r="U12" s="1"/>
      <c r="V12" s="2"/>
      <c r="W12" s="2"/>
      <c r="X12" s="2"/>
      <c r="Y12" s="6"/>
    </row>
    <row r="13" spans="1:25" ht="15.9" customHeight="1" x14ac:dyDescent="0.6">
      <c r="A13" s="212">
        <v>8</v>
      </c>
      <c r="B13" s="28" t="s">
        <v>680</v>
      </c>
      <c r="C13" s="28" t="s">
        <v>23</v>
      </c>
      <c r="D13" s="28" t="s">
        <v>284</v>
      </c>
      <c r="E13" s="31" t="s">
        <v>193</v>
      </c>
      <c r="F13" s="93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66"/>
      <c r="R13" s="89"/>
      <c r="S13" s="89"/>
      <c r="T13" s="94"/>
      <c r="U13" s="1"/>
      <c r="V13" s="28"/>
      <c r="W13" s="2"/>
      <c r="X13" s="2"/>
      <c r="Y13" s="6"/>
    </row>
    <row r="14" spans="1:25" ht="15.9" customHeight="1" x14ac:dyDescent="0.6">
      <c r="A14" s="212">
        <v>9</v>
      </c>
      <c r="B14" s="28" t="s">
        <v>681</v>
      </c>
      <c r="C14" s="28" t="s">
        <v>23</v>
      </c>
      <c r="D14" s="28" t="s">
        <v>285</v>
      </c>
      <c r="E14" s="31" t="s">
        <v>682</v>
      </c>
      <c r="F14" s="93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94"/>
      <c r="U14" s="1"/>
      <c r="V14" s="2"/>
      <c r="W14" s="2"/>
      <c r="X14" s="2"/>
      <c r="Y14" s="6"/>
    </row>
    <row r="15" spans="1:25" ht="15.9" customHeight="1" thickBot="1" x14ac:dyDescent="0.65">
      <c r="A15" s="154">
        <v>10</v>
      </c>
      <c r="B15" s="20" t="s">
        <v>982</v>
      </c>
      <c r="C15" s="20" t="s">
        <v>24</v>
      </c>
      <c r="D15" s="20" t="s">
        <v>983</v>
      </c>
      <c r="E15" s="21" t="s">
        <v>984</v>
      </c>
      <c r="F15" s="96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7"/>
      <c r="S15" s="97"/>
      <c r="T15" s="98"/>
      <c r="U15" s="4"/>
      <c r="V15" s="3"/>
      <c r="W15" s="3"/>
      <c r="X15" s="3"/>
      <c r="Y15" s="8"/>
    </row>
    <row r="16" spans="1:25" ht="15.9" customHeight="1" x14ac:dyDescent="0.6">
      <c r="A16" s="152">
        <v>11</v>
      </c>
      <c r="B16" s="29" t="s">
        <v>683</v>
      </c>
      <c r="C16" s="29" t="s">
        <v>24</v>
      </c>
      <c r="D16" s="29" t="s">
        <v>252</v>
      </c>
      <c r="E16" s="30" t="s">
        <v>253</v>
      </c>
      <c r="F16" s="90"/>
      <c r="G16" s="91"/>
      <c r="H16" s="91"/>
      <c r="I16" s="91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2"/>
      <c r="U16" s="24"/>
      <c r="V16" s="12"/>
      <c r="W16" s="12"/>
      <c r="X16" s="12"/>
      <c r="Y16" s="13"/>
    </row>
    <row r="17" spans="1:25" ht="15.9" customHeight="1" x14ac:dyDescent="0.6">
      <c r="A17" s="212">
        <v>12</v>
      </c>
      <c r="B17" s="28" t="s">
        <v>684</v>
      </c>
      <c r="C17" s="28" t="s">
        <v>24</v>
      </c>
      <c r="D17" s="28" t="s">
        <v>256</v>
      </c>
      <c r="E17" s="31" t="s">
        <v>257</v>
      </c>
      <c r="F17" s="93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94"/>
      <c r="U17" s="1"/>
      <c r="V17" s="2"/>
      <c r="W17" s="2"/>
      <c r="X17" s="2"/>
      <c r="Y17" s="6"/>
    </row>
    <row r="18" spans="1:25" ht="15.9" customHeight="1" x14ac:dyDescent="0.6">
      <c r="A18" s="212">
        <v>13</v>
      </c>
      <c r="B18" s="28" t="s">
        <v>685</v>
      </c>
      <c r="C18" s="28" t="s">
        <v>24</v>
      </c>
      <c r="D18" s="28" t="s">
        <v>271</v>
      </c>
      <c r="E18" s="31" t="s">
        <v>272</v>
      </c>
      <c r="F18" s="93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94"/>
      <c r="U18" s="1"/>
      <c r="V18" s="2"/>
      <c r="W18" s="2"/>
      <c r="X18" s="2"/>
      <c r="Y18" s="6"/>
    </row>
    <row r="19" spans="1:25" ht="15.9" customHeight="1" x14ac:dyDescent="0.6">
      <c r="A19" s="212">
        <v>14</v>
      </c>
      <c r="B19" s="28" t="s">
        <v>686</v>
      </c>
      <c r="C19" s="28" t="s">
        <v>24</v>
      </c>
      <c r="D19" s="28" t="s">
        <v>17</v>
      </c>
      <c r="E19" s="31" t="s">
        <v>57</v>
      </c>
      <c r="F19" s="93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94"/>
      <c r="U19" s="1"/>
      <c r="V19" s="2"/>
      <c r="W19" s="2"/>
      <c r="X19" s="2"/>
      <c r="Y19" s="6"/>
    </row>
    <row r="20" spans="1:25" ht="15.9" customHeight="1" thickBot="1" x14ac:dyDescent="0.65">
      <c r="A20" s="154">
        <v>15</v>
      </c>
      <c r="B20" s="20" t="s">
        <v>687</v>
      </c>
      <c r="C20" s="20" t="s">
        <v>24</v>
      </c>
      <c r="D20" s="20" t="s">
        <v>262</v>
      </c>
      <c r="E20" s="21" t="s">
        <v>263</v>
      </c>
      <c r="F20" s="96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8"/>
      <c r="U20" s="4"/>
      <c r="V20" s="3"/>
      <c r="W20" s="3"/>
      <c r="X20" s="3"/>
      <c r="Y20" s="8"/>
    </row>
    <row r="21" spans="1:25" ht="15.9" customHeight="1" x14ac:dyDescent="0.6">
      <c r="A21" s="152">
        <v>16</v>
      </c>
      <c r="B21" s="29" t="s">
        <v>688</v>
      </c>
      <c r="C21" s="29" t="s">
        <v>24</v>
      </c>
      <c r="D21" s="29" t="s">
        <v>258</v>
      </c>
      <c r="E21" s="30" t="s">
        <v>259</v>
      </c>
      <c r="F21" s="90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2"/>
      <c r="U21" s="24"/>
      <c r="V21" s="12"/>
      <c r="W21" s="12"/>
      <c r="X21" s="12"/>
      <c r="Y21" s="13"/>
    </row>
    <row r="22" spans="1:25" ht="15.9" customHeight="1" x14ac:dyDescent="0.6">
      <c r="A22" s="212">
        <v>17</v>
      </c>
      <c r="B22" s="28" t="s">
        <v>689</v>
      </c>
      <c r="C22" s="28" t="s">
        <v>24</v>
      </c>
      <c r="D22" s="28" t="s">
        <v>264</v>
      </c>
      <c r="E22" s="31" t="s">
        <v>265</v>
      </c>
      <c r="F22" s="93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94"/>
      <c r="U22" s="1"/>
      <c r="V22" s="2"/>
      <c r="W22" s="2"/>
      <c r="X22" s="2"/>
      <c r="Y22" s="6"/>
    </row>
    <row r="23" spans="1:25" ht="15.9" customHeight="1" x14ac:dyDescent="0.6">
      <c r="A23" s="212">
        <v>18</v>
      </c>
      <c r="B23" s="28" t="s">
        <v>690</v>
      </c>
      <c r="C23" s="28" t="s">
        <v>24</v>
      </c>
      <c r="D23" s="28" t="s">
        <v>691</v>
      </c>
      <c r="E23" s="31" t="s">
        <v>274</v>
      </c>
      <c r="F23" s="93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4"/>
      <c r="U23" s="1"/>
      <c r="V23" s="2"/>
      <c r="W23" s="2"/>
      <c r="X23" s="2"/>
      <c r="Y23" s="6"/>
    </row>
    <row r="24" spans="1:25" ht="15.9" customHeight="1" x14ac:dyDescent="0.6">
      <c r="A24" s="212">
        <v>19</v>
      </c>
      <c r="B24" s="28" t="s">
        <v>692</v>
      </c>
      <c r="C24" s="28" t="s">
        <v>24</v>
      </c>
      <c r="D24" s="28" t="s">
        <v>12</v>
      </c>
      <c r="E24" s="31" t="s">
        <v>270</v>
      </c>
      <c r="F24" s="93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4"/>
      <c r="U24" s="1"/>
      <c r="V24" s="2"/>
      <c r="W24" s="2"/>
      <c r="X24" s="2"/>
      <c r="Y24" s="6"/>
    </row>
    <row r="25" spans="1:25" ht="15.9" customHeight="1" thickBot="1" x14ac:dyDescent="0.65">
      <c r="A25" s="154">
        <v>20</v>
      </c>
      <c r="B25" s="20" t="s">
        <v>693</v>
      </c>
      <c r="C25" s="20" t="s">
        <v>24</v>
      </c>
      <c r="D25" s="20" t="s">
        <v>248</v>
      </c>
      <c r="E25" s="21" t="s">
        <v>249</v>
      </c>
      <c r="F25" s="96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8"/>
      <c r="U25" s="4"/>
      <c r="V25" s="3"/>
      <c r="W25" s="3"/>
      <c r="X25" s="3"/>
      <c r="Y25" s="8"/>
    </row>
    <row r="26" spans="1:25" ht="15.9" customHeight="1" x14ac:dyDescent="0.6">
      <c r="A26" s="152">
        <v>21</v>
      </c>
      <c r="B26" s="29" t="s">
        <v>694</v>
      </c>
      <c r="C26" s="29" t="s">
        <v>24</v>
      </c>
      <c r="D26" s="29" t="s">
        <v>260</v>
      </c>
      <c r="E26" s="30" t="s">
        <v>261</v>
      </c>
      <c r="F26" s="90"/>
      <c r="G26" s="91"/>
      <c r="H26" s="91"/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2"/>
      <c r="U26" s="24"/>
      <c r="V26" s="12"/>
      <c r="W26" s="12"/>
      <c r="X26" s="12"/>
      <c r="Y26" s="13"/>
    </row>
    <row r="27" spans="1:25" ht="15.9" customHeight="1" x14ac:dyDescent="0.6">
      <c r="A27" s="212">
        <v>22</v>
      </c>
      <c r="B27" s="28" t="s">
        <v>695</v>
      </c>
      <c r="C27" s="28" t="s">
        <v>24</v>
      </c>
      <c r="D27" s="28" t="s">
        <v>696</v>
      </c>
      <c r="E27" s="31" t="s">
        <v>697</v>
      </c>
      <c r="F27" s="93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4"/>
      <c r="U27" s="1"/>
      <c r="V27" s="2"/>
      <c r="W27" s="2"/>
      <c r="X27" s="2"/>
      <c r="Y27" s="6"/>
    </row>
    <row r="28" spans="1:25" ht="15.9" customHeight="1" x14ac:dyDescent="0.6">
      <c r="A28" s="212">
        <v>23</v>
      </c>
      <c r="B28" s="28" t="s">
        <v>698</v>
      </c>
      <c r="C28" s="28" t="s">
        <v>24</v>
      </c>
      <c r="D28" s="28" t="s">
        <v>266</v>
      </c>
      <c r="E28" s="31" t="s">
        <v>267</v>
      </c>
      <c r="F28" s="93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4"/>
      <c r="U28" s="1"/>
      <c r="V28" s="2"/>
      <c r="W28" s="2"/>
      <c r="X28" s="2"/>
      <c r="Y28" s="6"/>
    </row>
    <row r="29" spans="1:25" ht="15.9" customHeight="1" thickBot="1" x14ac:dyDescent="0.65">
      <c r="A29" s="212">
        <v>24</v>
      </c>
      <c r="B29" s="28" t="s">
        <v>699</v>
      </c>
      <c r="C29" s="28" t="s">
        <v>24</v>
      </c>
      <c r="D29" s="28" t="s">
        <v>268</v>
      </c>
      <c r="E29" s="31" t="s">
        <v>269</v>
      </c>
      <c r="F29" s="93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4"/>
      <c r="U29" s="4"/>
      <c r="V29" s="3"/>
      <c r="W29" s="3"/>
      <c r="X29" s="3"/>
      <c r="Y29" s="8"/>
    </row>
    <row r="30" spans="1:25" ht="15.9" customHeight="1" thickBot="1" x14ac:dyDescent="0.65">
      <c r="A30" s="154">
        <v>25</v>
      </c>
      <c r="B30" s="20" t="s">
        <v>700</v>
      </c>
      <c r="C30" s="20" t="s">
        <v>24</v>
      </c>
      <c r="D30" s="20" t="s">
        <v>19</v>
      </c>
      <c r="E30" s="21" t="s">
        <v>273</v>
      </c>
      <c r="F30" s="96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8"/>
      <c r="U30" s="24"/>
      <c r="V30" s="12"/>
      <c r="W30" s="12"/>
      <c r="X30" s="12"/>
      <c r="Y30" s="13"/>
    </row>
    <row r="31" spans="1:25" ht="15.9" customHeight="1" x14ac:dyDescent="0.6">
      <c r="A31" s="152">
        <v>26</v>
      </c>
      <c r="B31" s="29" t="s">
        <v>701</v>
      </c>
      <c r="C31" s="29" t="s">
        <v>24</v>
      </c>
      <c r="D31" s="29" t="s">
        <v>254</v>
      </c>
      <c r="E31" s="30" t="s">
        <v>255</v>
      </c>
      <c r="F31" s="90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2"/>
      <c r="U31" s="9"/>
      <c r="V31" s="10"/>
      <c r="W31" s="10"/>
      <c r="X31" s="10"/>
      <c r="Y31" s="14"/>
    </row>
    <row r="32" spans="1:25" ht="15.9" customHeight="1" x14ac:dyDescent="0.6">
      <c r="A32" s="212">
        <v>27</v>
      </c>
      <c r="B32" s="28" t="s">
        <v>702</v>
      </c>
      <c r="C32" s="28" t="s">
        <v>24</v>
      </c>
      <c r="D32" s="28" t="s">
        <v>250</v>
      </c>
      <c r="E32" s="31" t="s">
        <v>251</v>
      </c>
      <c r="F32" s="93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4"/>
      <c r="U32" s="9"/>
      <c r="V32" s="10"/>
      <c r="W32" s="10"/>
      <c r="X32" s="10"/>
      <c r="Y32" s="14"/>
    </row>
    <row r="33" spans="1:25" ht="15.9" customHeight="1" x14ac:dyDescent="0.6">
      <c r="A33" s="212">
        <v>28</v>
      </c>
      <c r="B33" s="28" t="s">
        <v>703</v>
      </c>
      <c r="C33" s="28" t="s">
        <v>24</v>
      </c>
      <c r="D33" s="28" t="s">
        <v>282</v>
      </c>
      <c r="E33" s="31" t="s">
        <v>283</v>
      </c>
      <c r="F33" s="93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4"/>
      <c r="U33" s="9"/>
      <c r="V33" s="10"/>
      <c r="W33" s="10"/>
      <c r="X33" s="10"/>
      <c r="Y33" s="14"/>
    </row>
    <row r="34" spans="1:25" ht="15.9" customHeight="1" x14ac:dyDescent="0.6">
      <c r="A34" s="212">
        <v>29</v>
      </c>
      <c r="B34" s="28" t="s">
        <v>704</v>
      </c>
      <c r="C34" s="28" t="s">
        <v>24</v>
      </c>
      <c r="D34" s="28" t="s">
        <v>705</v>
      </c>
      <c r="E34" s="31" t="s">
        <v>276</v>
      </c>
      <c r="F34" s="93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4"/>
      <c r="U34" s="9"/>
      <c r="V34" s="10"/>
      <c r="W34" s="10"/>
      <c r="X34" s="10"/>
      <c r="Y34" s="14"/>
    </row>
    <row r="35" spans="1:25" ht="15.9" customHeight="1" thickBot="1" x14ac:dyDescent="0.65">
      <c r="A35" s="154">
        <v>30</v>
      </c>
      <c r="B35" s="20" t="s">
        <v>706</v>
      </c>
      <c r="C35" s="20" t="s">
        <v>24</v>
      </c>
      <c r="D35" s="20" t="s">
        <v>707</v>
      </c>
      <c r="E35" s="21" t="s">
        <v>277</v>
      </c>
      <c r="F35" s="96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8"/>
      <c r="U35" s="9"/>
      <c r="V35" s="10"/>
      <c r="W35" s="10"/>
      <c r="X35" s="10"/>
      <c r="Y35" s="14"/>
    </row>
    <row r="36" spans="1:25" ht="15.9" customHeight="1" x14ac:dyDescent="0.6">
      <c r="A36" s="152">
        <v>31</v>
      </c>
      <c r="B36" s="29" t="s">
        <v>708</v>
      </c>
      <c r="C36" s="29" t="s">
        <v>24</v>
      </c>
      <c r="D36" s="29" t="s">
        <v>280</v>
      </c>
      <c r="E36" s="30" t="s">
        <v>281</v>
      </c>
      <c r="F36" s="99"/>
      <c r="G36" s="100"/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0"/>
      <c r="S36" s="100"/>
      <c r="T36" s="101"/>
      <c r="U36" s="9"/>
      <c r="V36" s="10"/>
      <c r="W36" s="10"/>
      <c r="X36" s="10"/>
      <c r="Y36" s="14"/>
    </row>
    <row r="37" spans="1:25" ht="15.9" customHeight="1" x14ac:dyDescent="0.6">
      <c r="A37" s="212">
        <v>32</v>
      </c>
      <c r="B37" s="28" t="s">
        <v>709</v>
      </c>
      <c r="C37" s="28" t="s">
        <v>24</v>
      </c>
      <c r="D37" s="28" t="s">
        <v>710</v>
      </c>
      <c r="E37" s="31" t="s">
        <v>275</v>
      </c>
      <c r="F37" s="93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4"/>
      <c r="U37" s="9"/>
      <c r="V37" s="10"/>
      <c r="W37" s="10"/>
      <c r="X37" s="10"/>
      <c r="Y37" s="14"/>
    </row>
    <row r="38" spans="1:25" ht="15.9" customHeight="1" x14ac:dyDescent="0.6">
      <c r="A38" s="212">
        <v>33</v>
      </c>
      <c r="B38" s="28" t="s">
        <v>968</v>
      </c>
      <c r="C38" s="28" t="s">
        <v>24</v>
      </c>
      <c r="D38" s="28" t="s">
        <v>969</v>
      </c>
      <c r="E38" s="31" t="s">
        <v>970</v>
      </c>
      <c r="F38" s="93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4"/>
      <c r="U38" s="9"/>
      <c r="V38" s="10"/>
      <c r="W38" s="10"/>
      <c r="X38" s="10"/>
      <c r="Y38" s="14"/>
    </row>
    <row r="39" spans="1:25" ht="15.9" customHeight="1" x14ac:dyDescent="0.6">
      <c r="A39" s="289"/>
      <c r="B39" s="66"/>
      <c r="C39" s="66"/>
      <c r="D39" s="66"/>
      <c r="E39" s="145"/>
      <c r="F39" s="93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4"/>
      <c r="U39" s="9"/>
      <c r="V39" s="10"/>
      <c r="W39" s="10"/>
      <c r="X39" s="10"/>
      <c r="Y39" s="14"/>
    </row>
    <row r="40" spans="1:25" ht="15.9" customHeight="1" thickBot="1" x14ac:dyDescent="0.65">
      <c r="A40" s="290"/>
      <c r="B40" s="254"/>
      <c r="C40" s="255"/>
      <c r="D40" s="256"/>
      <c r="E40" s="257"/>
      <c r="F40" s="96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8"/>
      <c r="U40" s="9"/>
      <c r="V40" s="10"/>
      <c r="W40" s="10"/>
      <c r="X40" s="10"/>
      <c r="Y40" s="14"/>
    </row>
    <row r="41" spans="1:25" ht="15.9" hidden="1" customHeight="1" x14ac:dyDescent="0.6">
      <c r="A41" s="129"/>
      <c r="B41" s="130"/>
      <c r="C41" s="99"/>
      <c r="D41" s="100"/>
      <c r="E41" s="101"/>
      <c r="F41" s="99"/>
      <c r="G41" s="100"/>
      <c r="H41" s="100"/>
      <c r="I41" s="100"/>
      <c r="J41" s="101"/>
      <c r="K41" s="131"/>
      <c r="L41" s="100"/>
      <c r="M41" s="100"/>
      <c r="N41" s="100"/>
      <c r="O41" s="101"/>
      <c r="P41" s="131"/>
      <c r="Q41" s="100"/>
      <c r="R41" s="100"/>
      <c r="S41" s="100"/>
      <c r="T41" s="101"/>
      <c r="U41" s="11"/>
      <c r="V41" s="12"/>
      <c r="W41" s="12"/>
      <c r="X41" s="12"/>
      <c r="Y41" s="13"/>
    </row>
    <row r="42" spans="1:25" ht="15.9" hidden="1" customHeight="1" x14ac:dyDescent="0.6">
      <c r="A42" s="132"/>
      <c r="B42" s="133"/>
      <c r="C42" s="93"/>
      <c r="D42" s="89"/>
      <c r="E42" s="94"/>
      <c r="F42" s="93"/>
      <c r="G42" s="89"/>
      <c r="H42" s="89"/>
      <c r="I42" s="89"/>
      <c r="J42" s="94"/>
      <c r="K42" s="134"/>
      <c r="L42" s="89"/>
      <c r="M42" s="89"/>
      <c r="N42" s="89"/>
      <c r="O42" s="94"/>
      <c r="P42" s="134"/>
      <c r="Q42" s="89"/>
      <c r="R42" s="89"/>
      <c r="S42" s="89"/>
      <c r="T42" s="94"/>
      <c r="U42" s="5"/>
      <c r="V42" s="2"/>
      <c r="W42" s="2"/>
      <c r="X42" s="2"/>
      <c r="Y42" s="6"/>
    </row>
    <row r="43" spans="1:25" ht="15.9" hidden="1" customHeight="1" x14ac:dyDescent="0.6">
      <c r="A43" s="132"/>
      <c r="B43" s="133"/>
      <c r="C43" s="93"/>
      <c r="D43" s="89"/>
      <c r="E43" s="94"/>
      <c r="F43" s="93"/>
      <c r="G43" s="89"/>
      <c r="H43" s="89"/>
      <c r="I43" s="89"/>
      <c r="J43" s="94"/>
      <c r="K43" s="134"/>
      <c r="L43" s="89"/>
      <c r="M43" s="89"/>
      <c r="N43" s="89"/>
      <c r="O43" s="94"/>
      <c r="P43" s="134"/>
      <c r="Q43" s="89"/>
      <c r="R43" s="89"/>
      <c r="S43" s="89"/>
      <c r="T43" s="94"/>
      <c r="U43" s="5"/>
      <c r="V43" s="2"/>
      <c r="W43" s="2"/>
      <c r="X43" s="2"/>
      <c r="Y43" s="6"/>
    </row>
    <row r="44" spans="1:25" ht="15.9" hidden="1" customHeight="1" x14ac:dyDescent="0.6">
      <c r="A44" s="132"/>
      <c r="B44" s="133"/>
      <c r="C44" s="93"/>
      <c r="D44" s="89"/>
      <c r="E44" s="94"/>
      <c r="F44" s="93"/>
      <c r="G44" s="89"/>
      <c r="H44" s="89"/>
      <c r="I44" s="89"/>
      <c r="J44" s="94"/>
      <c r="K44" s="134"/>
      <c r="L44" s="89"/>
      <c r="M44" s="89"/>
      <c r="N44" s="89"/>
      <c r="O44" s="94"/>
      <c r="P44" s="134"/>
      <c r="Q44" s="89"/>
      <c r="R44" s="89"/>
      <c r="S44" s="89"/>
      <c r="T44" s="94"/>
      <c r="U44" s="5"/>
      <c r="V44" s="2"/>
      <c r="W44" s="2"/>
      <c r="X44" s="2"/>
      <c r="Y44" s="6"/>
    </row>
    <row r="45" spans="1:25" ht="15.9" hidden="1" customHeight="1" thickBot="1" x14ac:dyDescent="0.65">
      <c r="A45" s="135"/>
      <c r="B45" s="136"/>
      <c r="C45" s="96"/>
      <c r="D45" s="97"/>
      <c r="E45" s="98"/>
      <c r="F45" s="96"/>
      <c r="G45" s="97"/>
      <c r="H45" s="97"/>
      <c r="I45" s="97"/>
      <c r="J45" s="98"/>
      <c r="K45" s="137"/>
      <c r="L45" s="97"/>
      <c r="M45" s="97"/>
      <c r="N45" s="97"/>
      <c r="O45" s="98"/>
      <c r="P45" s="137"/>
      <c r="Q45" s="97"/>
      <c r="R45" s="97"/>
      <c r="S45" s="97"/>
      <c r="T45" s="98"/>
      <c r="U45" s="7"/>
      <c r="V45" s="3"/>
      <c r="W45" s="3"/>
      <c r="X45" s="3"/>
      <c r="Y45" s="8"/>
    </row>
    <row r="46" spans="1:25" ht="15.9" hidden="1" customHeight="1" x14ac:dyDescent="0.6">
      <c r="A46" s="129"/>
      <c r="B46" s="130"/>
      <c r="C46" s="99"/>
      <c r="D46" s="100"/>
      <c r="E46" s="101"/>
      <c r="F46" s="90"/>
      <c r="G46" s="91"/>
      <c r="H46" s="91"/>
      <c r="I46" s="91"/>
      <c r="J46" s="92"/>
      <c r="K46" s="138"/>
      <c r="L46" s="91"/>
      <c r="M46" s="91"/>
      <c r="N46" s="91"/>
      <c r="O46" s="92"/>
      <c r="P46" s="138"/>
      <c r="Q46" s="91"/>
      <c r="R46" s="91"/>
      <c r="S46" s="91"/>
      <c r="T46" s="92"/>
      <c r="U46" s="11"/>
      <c r="V46" s="12"/>
      <c r="W46" s="12"/>
      <c r="X46" s="12"/>
      <c r="Y46" s="13"/>
    </row>
    <row r="47" spans="1:25" ht="15.9" hidden="1" customHeight="1" x14ac:dyDescent="0.6">
      <c r="A47" s="132"/>
      <c r="B47" s="139"/>
      <c r="C47" s="140"/>
      <c r="D47" s="141"/>
      <c r="E47" s="142"/>
      <c r="F47" s="93"/>
      <c r="G47" s="89"/>
      <c r="H47" s="89"/>
      <c r="I47" s="89"/>
      <c r="J47" s="94"/>
      <c r="K47" s="134"/>
      <c r="L47" s="89"/>
      <c r="M47" s="89"/>
      <c r="N47" s="89"/>
      <c r="O47" s="94"/>
      <c r="P47" s="134"/>
      <c r="Q47" s="89"/>
      <c r="R47" s="89"/>
      <c r="S47" s="89"/>
      <c r="T47" s="94"/>
      <c r="U47" s="5"/>
      <c r="V47" s="2"/>
      <c r="W47" s="2"/>
      <c r="X47" s="2"/>
      <c r="Y47" s="6"/>
    </row>
    <row r="48" spans="1:25" ht="15.9" hidden="1" customHeight="1" x14ac:dyDescent="0.6">
      <c r="A48" s="132"/>
      <c r="B48" s="143"/>
      <c r="C48" s="144"/>
      <c r="D48" s="66"/>
      <c r="E48" s="145"/>
      <c r="F48" s="93"/>
      <c r="G48" s="89"/>
      <c r="H48" s="89"/>
      <c r="I48" s="89"/>
      <c r="J48" s="94"/>
      <c r="K48" s="134"/>
      <c r="L48" s="89"/>
      <c r="M48" s="89"/>
      <c r="N48" s="89"/>
      <c r="O48" s="94"/>
      <c r="P48" s="134"/>
      <c r="Q48" s="89"/>
      <c r="R48" s="89"/>
      <c r="S48" s="89"/>
      <c r="T48" s="94"/>
      <c r="U48" s="5"/>
      <c r="V48" s="2"/>
      <c r="W48" s="2"/>
      <c r="X48" s="2"/>
      <c r="Y48" s="6"/>
    </row>
    <row r="49" spans="1:25" ht="15.9" hidden="1" customHeight="1" x14ac:dyDescent="0.6">
      <c r="A49" s="132"/>
      <c r="B49" s="143"/>
      <c r="C49" s="144"/>
      <c r="D49" s="66"/>
      <c r="E49" s="145"/>
      <c r="F49" s="93"/>
      <c r="G49" s="89"/>
      <c r="H49" s="89"/>
      <c r="I49" s="89"/>
      <c r="J49" s="94"/>
      <c r="K49" s="134"/>
      <c r="L49" s="89"/>
      <c r="M49" s="89"/>
      <c r="N49" s="89"/>
      <c r="O49" s="94"/>
      <c r="P49" s="134"/>
      <c r="Q49" s="89"/>
      <c r="R49" s="89"/>
      <c r="S49" s="89"/>
      <c r="T49" s="94"/>
      <c r="U49" s="5"/>
      <c r="V49" s="2"/>
      <c r="W49" s="2"/>
      <c r="X49" s="2"/>
      <c r="Y49" s="6"/>
    </row>
    <row r="50" spans="1:25" s="15" customFormat="1" ht="15.9" hidden="1" customHeight="1" thickBot="1" x14ac:dyDescent="0.65">
      <c r="A50" s="135"/>
      <c r="B50" s="146"/>
      <c r="C50" s="147"/>
      <c r="D50" s="126"/>
      <c r="E50" s="127"/>
      <c r="F50" s="148"/>
      <c r="G50" s="149"/>
      <c r="H50" s="149"/>
      <c r="I50" s="149"/>
      <c r="J50" s="150"/>
      <c r="K50" s="151"/>
      <c r="L50" s="149"/>
      <c r="M50" s="149"/>
      <c r="N50" s="149"/>
      <c r="O50" s="150"/>
      <c r="P50" s="151"/>
      <c r="Q50" s="149"/>
      <c r="R50" s="149"/>
      <c r="S50" s="149"/>
      <c r="T50" s="150"/>
      <c r="U50" s="40"/>
      <c r="V50" s="25"/>
      <c r="W50" s="25"/>
      <c r="X50" s="25"/>
      <c r="Y50" s="41"/>
    </row>
    <row r="51" spans="1:25" ht="15.9" hidden="1" customHeight="1" x14ac:dyDescent="0.25">
      <c r="A51" s="152"/>
      <c r="B51" s="153"/>
      <c r="C51" s="122"/>
      <c r="D51" s="123"/>
      <c r="E51" s="124"/>
      <c r="F51" s="122"/>
      <c r="G51" s="123"/>
      <c r="H51" s="123"/>
      <c r="I51" s="123"/>
      <c r="J51" s="124"/>
      <c r="K51" s="125"/>
      <c r="L51" s="123"/>
      <c r="M51" s="123"/>
      <c r="N51" s="123"/>
      <c r="O51" s="124"/>
      <c r="P51" s="125"/>
      <c r="Q51" s="123"/>
      <c r="R51" s="123"/>
      <c r="S51" s="123"/>
      <c r="T51" s="124"/>
      <c r="U51" s="33"/>
      <c r="V51" s="29"/>
      <c r="W51" s="29"/>
      <c r="X51" s="29"/>
      <c r="Y51" s="30"/>
    </row>
    <row r="52" spans="1:25" ht="15.9" hidden="1" customHeight="1" thickBot="1" x14ac:dyDescent="0.3">
      <c r="A52" s="154"/>
      <c r="B52" s="146"/>
      <c r="C52" s="147"/>
      <c r="D52" s="126"/>
      <c r="E52" s="127"/>
      <c r="F52" s="147"/>
      <c r="G52" s="126"/>
      <c r="H52" s="126"/>
      <c r="I52" s="126"/>
      <c r="J52" s="127"/>
      <c r="K52" s="128"/>
      <c r="L52" s="126"/>
      <c r="M52" s="126"/>
      <c r="N52" s="126"/>
      <c r="O52" s="127"/>
      <c r="P52" s="128"/>
      <c r="Q52" s="126"/>
      <c r="R52" s="126"/>
      <c r="S52" s="126"/>
      <c r="T52" s="127"/>
      <c r="U52" s="22"/>
      <c r="V52" s="20"/>
      <c r="W52" s="20"/>
      <c r="X52" s="20"/>
      <c r="Y52" s="21"/>
    </row>
    <row r="53" spans="1:25" ht="15.9" customHeight="1" x14ac:dyDescent="0.6">
      <c r="A53" s="102" t="s">
        <v>20</v>
      </c>
      <c r="B53" s="103" cm="1">
        <f t="array" ref="B53">SUM(COUNTIF(C6:C51,{"นาย","เด็กชาย"}))</f>
        <v>9</v>
      </c>
      <c r="C53" s="104" t="s">
        <v>21</v>
      </c>
      <c r="D53" s="103" cm="1">
        <f t="array" ref="D53">SUM(COUNTIF(C6:C51,{"นางสาว","เด็กหญิง"}))</f>
        <v>24</v>
      </c>
      <c r="E53" s="155" t="s">
        <v>22</v>
      </c>
      <c r="F53" s="67">
        <f>B53+D53</f>
        <v>33</v>
      </c>
      <c r="U53" s="15"/>
      <c r="V53" s="15"/>
      <c r="W53" s="15"/>
      <c r="X53" s="15"/>
    </row>
  </sheetData>
  <sortState xmlns:xlrd2="http://schemas.microsoft.com/office/spreadsheetml/2017/richdata2" ref="C31:E36">
    <sortCondition ref="D31:D36"/>
  </sortState>
  <mergeCells count="26">
    <mergeCell ref="Y4:Y5"/>
    <mergeCell ref="N4:N5"/>
    <mergeCell ref="O4:O5"/>
    <mergeCell ref="P4:P5"/>
    <mergeCell ref="Q4:Q5"/>
    <mergeCell ref="R4:R5"/>
    <mergeCell ref="X4:X5"/>
    <mergeCell ref="S4:S5"/>
    <mergeCell ref="T4:T5"/>
    <mergeCell ref="U4:U5"/>
    <mergeCell ref="V4:V5"/>
    <mergeCell ref="W4:W5"/>
    <mergeCell ref="A1:T1"/>
    <mergeCell ref="C4:E5"/>
    <mergeCell ref="F4:F5"/>
    <mergeCell ref="G4:G5"/>
    <mergeCell ref="H4:H5"/>
    <mergeCell ref="I4:I5"/>
    <mergeCell ref="J4:J5"/>
    <mergeCell ref="K4:K5"/>
    <mergeCell ref="L4:L5"/>
    <mergeCell ref="M4:M5"/>
    <mergeCell ref="A2:C2"/>
    <mergeCell ref="B3:D3"/>
    <mergeCell ref="F2:T2"/>
    <mergeCell ref="F3:T3"/>
  </mergeCells>
  <printOptions horizontalCentered="1"/>
  <pageMargins left="0.39370078740157483" right="0" top="0.39370078740157483" bottom="0" header="0.31496062992125984" footer="0.31496062992125984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41"/>
  <sheetViews>
    <sheetView workbookViewId="0">
      <selection activeCell="E32" sqref="A6:E32"/>
    </sheetView>
  </sheetViews>
  <sheetFormatPr defaultRowHeight="15.9" customHeight="1" x14ac:dyDescent="0.25"/>
  <cols>
    <col min="1" max="1" width="4.19921875" style="76" customWidth="1"/>
    <col min="2" max="2" width="6.09765625" style="76" customWidth="1"/>
    <col min="3" max="3" width="8.59765625" style="76" customWidth="1"/>
    <col min="4" max="4" width="11" style="76" customWidth="1"/>
    <col min="5" max="5" width="11.69921875" style="76" customWidth="1"/>
    <col min="6" max="6" width="3.3984375" style="76" customWidth="1"/>
    <col min="7" max="20" width="2.69921875" style="76" customWidth="1"/>
    <col min="21" max="25" width="2.69921875" hidden="1" customWidth="1"/>
    <col min="26" max="27" width="0" hidden="1" customWidth="1"/>
  </cols>
  <sheetData>
    <row r="1" spans="1:25" s="67" customFormat="1" ht="15.9" customHeight="1" x14ac:dyDescent="0.25">
      <c r="A1" s="318" t="s">
        <v>1001</v>
      </c>
      <c r="B1" s="318"/>
      <c r="C1" s="318"/>
      <c r="D1" s="318"/>
      <c r="E1" s="318"/>
      <c r="F1" s="318"/>
      <c r="G1" s="318"/>
      <c r="H1" s="318"/>
      <c r="I1" s="318"/>
      <c r="J1" s="318"/>
      <c r="K1" s="318"/>
      <c r="L1" s="318"/>
      <c r="M1" s="318"/>
      <c r="N1" s="318"/>
      <c r="O1" s="318"/>
      <c r="P1" s="318"/>
      <c r="Q1" s="318"/>
      <c r="R1" s="318"/>
      <c r="S1" s="318"/>
      <c r="T1" s="318"/>
      <c r="U1" s="318"/>
      <c r="V1" s="318"/>
      <c r="W1" s="318"/>
      <c r="X1" s="318"/>
      <c r="Y1" s="318"/>
    </row>
    <row r="2" spans="1:25" s="67" customFormat="1" ht="15.9" customHeight="1" x14ac:dyDescent="0.25">
      <c r="A2" s="303" t="s">
        <v>5</v>
      </c>
      <c r="B2" s="303"/>
      <c r="C2" s="303"/>
      <c r="D2" s="82">
        <v>606</v>
      </c>
      <c r="E2" s="82" t="s">
        <v>6</v>
      </c>
      <c r="F2" s="304" t="s">
        <v>933</v>
      </c>
      <c r="G2" s="304"/>
      <c r="H2" s="304"/>
      <c r="I2" s="304"/>
      <c r="J2" s="304"/>
      <c r="K2" s="304"/>
      <c r="L2" s="304"/>
      <c r="M2" s="304"/>
      <c r="N2" s="304"/>
      <c r="O2" s="304"/>
      <c r="P2" s="83"/>
      <c r="Q2" s="83"/>
      <c r="R2" s="83"/>
      <c r="S2" s="83"/>
      <c r="T2" s="83"/>
      <c r="U2" s="69"/>
      <c r="V2" s="69"/>
      <c r="W2" s="69"/>
      <c r="X2" s="69"/>
      <c r="Y2" s="69"/>
    </row>
    <row r="3" spans="1:25" s="67" customFormat="1" ht="15.9" customHeight="1" thickBot="1" x14ac:dyDescent="0.3">
      <c r="A3" s="74"/>
      <c r="B3" s="83" t="s">
        <v>920</v>
      </c>
      <c r="C3" s="83"/>
      <c r="D3" s="83"/>
      <c r="E3" s="83"/>
      <c r="F3" s="304" t="s">
        <v>981</v>
      </c>
      <c r="G3" s="304"/>
      <c r="H3" s="304"/>
      <c r="I3" s="304"/>
      <c r="J3" s="304"/>
      <c r="K3" s="304"/>
      <c r="L3" s="304"/>
      <c r="M3" s="304"/>
      <c r="N3" s="304"/>
      <c r="O3" s="304"/>
      <c r="P3" s="83"/>
      <c r="Q3" s="83"/>
      <c r="R3" s="83"/>
      <c r="S3" s="83"/>
      <c r="T3" s="83"/>
      <c r="U3" s="69"/>
      <c r="V3" s="69"/>
      <c r="W3" s="69"/>
      <c r="X3" s="69"/>
      <c r="Y3" s="69"/>
    </row>
    <row r="4" spans="1:25" ht="15.9" customHeight="1" x14ac:dyDescent="0.25">
      <c r="A4" s="284" t="s">
        <v>1</v>
      </c>
      <c r="B4" s="285" t="s">
        <v>2</v>
      </c>
      <c r="C4" s="330" t="s">
        <v>3</v>
      </c>
      <c r="D4" s="330"/>
      <c r="E4" s="331"/>
      <c r="F4" s="334"/>
      <c r="G4" s="330"/>
      <c r="H4" s="330"/>
      <c r="I4" s="330"/>
      <c r="J4" s="330"/>
      <c r="K4" s="330"/>
      <c r="L4" s="330"/>
      <c r="M4" s="330"/>
      <c r="N4" s="330"/>
      <c r="O4" s="330"/>
      <c r="P4" s="330"/>
      <c r="Q4" s="330"/>
      <c r="R4" s="330"/>
      <c r="S4" s="330"/>
      <c r="T4" s="331"/>
      <c r="U4" s="325"/>
      <c r="V4" s="323"/>
      <c r="W4" s="323"/>
      <c r="X4" s="323"/>
      <c r="Y4" s="321"/>
    </row>
    <row r="5" spans="1:25" ht="15.9" customHeight="1" thickBot="1" x14ac:dyDescent="0.3">
      <c r="A5" s="286" t="s">
        <v>0</v>
      </c>
      <c r="B5" s="287" t="s">
        <v>4</v>
      </c>
      <c r="C5" s="332"/>
      <c r="D5" s="332"/>
      <c r="E5" s="333"/>
      <c r="F5" s="335"/>
      <c r="G5" s="332"/>
      <c r="H5" s="332"/>
      <c r="I5" s="332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3"/>
      <c r="U5" s="329"/>
      <c r="V5" s="328"/>
      <c r="W5" s="328"/>
      <c r="X5" s="328"/>
      <c r="Y5" s="327"/>
    </row>
    <row r="6" spans="1:25" ht="15.9" customHeight="1" x14ac:dyDescent="0.6">
      <c r="A6" s="178">
        <v>1</v>
      </c>
      <c r="B6" s="29" t="s">
        <v>711</v>
      </c>
      <c r="C6" s="29" t="s">
        <v>23</v>
      </c>
      <c r="D6" s="29" t="s">
        <v>38</v>
      </c>
      <c r="E6" s="30" t="s">
        <v>291</v>
      </c>
      <c r="F6" s="184"/>
      <c r="G6" s="172"/>
      <c r="H6" s="172"/>
      <c r="I6" s="172"/>
      <c r="J6" s="172"/>
      <c r="K6" s="172"/>
      <c r="L6" s="172"/>
      <c r="M6" s="172"/>
      <c r="N6" s="172"/>
      <c r="O6" s="172"/>
      <c r="P6" s="172"/>
      <c r="Q6" s="172"/>
      <c r="R6" s="172"/>
      <c r="S6" s="172"/>
      <c r="T6" s="173"/>
      <c r="U6" s="24"/>
      <c r="V6" s="12"/>
      <c r="W6" s="12"/>
      <c r="X6" s="12"/>
      <c r="Y6" s="13"/>
    </row>
    <row r="7" spans="1:25" ht="15.9" customHeight="1" x14ac:dyDescent="0.6">
      <c r="A7" s="179">
        <v>2</v>
      </c>
      <c r="B7" s="28" t="s">
        <v>712</v>
      </c>
      <c r="C7" s="28" t="s">
        <v>23</v>
      </c>
      <c r="D7" s="28" t="s">
        <v>713</v>
      </c>
      <c r="E7" s="31" t="s">
        <v>293</v>
      </c>
      <c r="F7" s="185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174"/>
      <c r="U7" s="1"/>
      <c r="V7" s="2"/>
      <c r="W7" s="2"/>
      <c r="X7" s="2"/>
      <c r="Y7" s="6"/>
    </row>
    <row r="8" spans="1:25" ht="15.9" customHeight="1" x14ac:dyDescent="0.6">
      <c r="A8" s="179">
        <v>3</v>
      </c>
      <c r="B8" s="28" t="s">
        <v>714</v>
      </c>
      <c r="C8" s="28" t="s">
        <v>23</v>
      </c>
      <c r="D8" s="28" t="s">
        <v>715</v>
      </c>
      <c r="E8" s="31" t="s">
        <v>292</v>
      </c>
      <c r="F8" s="18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174"/>
      <c r="U8" s="1"/>
      <c r="V8" s="2"/>
      <c r="W8" s="2"/>
      <c r="X8" s="2"/>
      <c r="Y8" s="6"/>
    </row>
    <row r="9" spans="1:25" ht="15.9" customHeight="1" x14ac:dyDescent="0.6">
      <c r="A9" s="179">
        <v>4</v>
      </c>
      <c r="B9" s="28" t="s">
        <v>716</v>
      </c>
      <c r="C9" s="28" t="s">
        <v>23</v>
      </c>
      <c r="D9" s="28" t="s">
        <v>50</v>
      </c>
      <c r="E9" s="31" t="s">
        <v>288</v>
      </c>
      <c r="F9" s="185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174"/>
      <c r="U9" s="1"/>
      <c r="V9" s="2"/>
      <c r="W9" s="2"/>
      <c r="X9" s="2"/>
      <c r="Y9" s="6"/>
    </row>
    <row r="10" spans="1:25" ht="15.9" customHeight="1" thickBot="1" x14ac:dyDescent="0.65">
      <c r="A10" s="180">
        <v>5</v>
      </c>
      <c r="B10" s="20" t="s">
        <v>717</v>
      </c>
      <c r="C10" s="20" t="s">
        <v>23</v>
      </c>
      <c r="D10" s="20" t="s">
        <v>45</v>
      </c>
      <c r="E10" s="21" t="s">
        <v>287</v>
      </c>
      <c r="F10" s="186"/>
      <c r="G10" s="175"/>
      <c r="H10" s="175"/>
      <c r="I10" s="175"/>
      <c r="J10" s="175"/>
      <c r="K10" s="175"/>
      <c r="L10" s="175"/>
      <c r="M10" s="175"/>
      <c r="N10" s="175"/>
      <c r="O10" s="175"/>
      <c r="P10" s="175"/>
      <c r="Q10" s="175"/>
      <c r="R10" s="175"/>
      <c r="S10" s="175"/>
      <c r="T10" s="176"/>
      <c r="U10" s="1"/>
      <c r="V10" s="2"/>
      <c r="W10" s="2"/>
      <c r="X10" s="2"/>
      <c r="Y10" s="6"/>
    </row>
    <row r="11" spans="1:25" ht="15.9" customHeight="1" x14ac:dyDescent="0.6">
      <c r="A11" s="178">
        <v>6</v>
      </c>
      <c r="B11" s="29" t="s">
        <v>718</v>
      </c>
      <c r="C11" s="29" t="s">
        <v>23</v>
      </c>
      <c r="D11" s="29" t="s">
        <v>295</v>
      </c>
      <c r="E11" s="30" t="s">
        <v>296</v>
      </c>
      <c r="F11" s="184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3"/>
      <c r="U11" s="26"/>
      <c r="V11" s="27"/>
      <c r="W11" s="27"/>
      <c r="X11" s="27"/>
      <c r="Y11" s="23"/>
    </row>
    <row r="12" spans="1:25" ht="15.9" customHeight="1" thickBot="1" x14ac:dyDescent="0.65">
      <c r="A12" s="179">
        <v>7</v>
      </c>
      <c r="B12" s="28" t="s">
        <v>719</v>
      </c>
      <c r="C12" s="28" t="s">
        <v>23</v>
      </c>
      <c r="D12" s="28" t="s">
        <v>720</v>
      </c>
      <c r="E12" s="31" t="s">
        <v>294</v>
      </c>
      <c r="F12" s="185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174"/>
      <c r="U12" s="4"/>
      <c r="V12" s="3"/>
      <c r="W12" s="3"/>
      <c r="X12" s="3"/>
      <c r="Y12" s="8"/>
    </row>
    <row r="13" spans="1:25" ht="15.9" customHeight="1" x14ac:dyDescent="0.6">
      <c r="A13" s="179">
        <v>8</v>
      </c>
      <c r="B13" s="28" t="s">
        <v>721</v>
      </c>
      <c r="C13" s="28" t="s">
        <v>23</v>
      </c>
      <c r="D13" s="28" t="s">
        <v>290</v>
      </c>
      <c r="E13" s="31" t="s">
        <v>722</v>
      </c>
      <c r="F13" s="18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174"/>
      <c r="U13" s="9"/>
      <c r="V13" s="10"/>
      <c r="W13" s="10"/>
      <c r="X13" s="10"/>
      <c r="Y13" s="14"/>
    </row>
    <row r="14" spans="1:25" ht="15.9" customHeight="1" x14ac:dyDescent="0.6">
      <c r="A14" s="179">
        <v>9</v>
      </c>
      <c r="B14" s="28" t="s">
        <v>651</v>
      </c>
      <c r="C14" s="28" t="s">
        <v>23</v>
      </c>
      <c r="D14" s="28" t="s">
        <v>222</v>
      </c>
      <c r="E14" s="31" t="s">
        <v>223</v>
      </c>
      <c r="F14" s="18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174"/>
      <c r="U14" s="1"/>
      <c r="V14" s="2"/>
      <c r="W14" s="2"/>
      <c r="X14" s="2"/>
      <c r="Y14" s="6"/>
    </row>
    <row r="15" spans="1:25" ht="15.9" customHeight="1" thickBot="1" x14ac:dyDescent="0.65">
      <c r="A15" s="180">
        <v>10</v>
      </c>
      <c r="B15" s="20" t="s">
        <v>724</v>
      </c>
      <c r="C15" s="20" t="s">
        <v>23</v>
      </c>
      <c r="D15" s="20" t="s">
        <v>302</v>
      </c>
      <c r="E15" s="21" t="s">
        <v>303</v>
      </c>
      <c r="F15" s="186"/>
      <c r="G15" s="175"/>
      <c r="H15" s="175"/>
      <c r="I15" s="175"/>
      <c r="J15" s="175"/>
      <c r="K15" s="175"/>
      <c r="L15" s="175"/>
      <c r="M15" s="175"/>
      <c r="N15" s="175"/>
      <c r="O15" s="175"/>
      <c r="P15" s="175"/>
      <c r="Q15" s="177"/>
      <c r="R15" s="175"/>
      <c r="S15" s="175"/>
      <c r="T15" s="176"/>
      <c r="U15" s="1"/>
      <c r="W15" s="2"/>
      <c r="X15" s="2"/>
      <c r="Y15" s="6"/>
    </row>
    <row r="16" spans="1:25" ht="15.9" customHeight="1" x14ac:dyDescent="0.6">
      <c r="A16" s="178">
        <v>11</v>
      </c>
      <c r="B16" s="29" t="s">
        <v>725</v>
      </c>
      <c r="C16" s="29" t="s">
        <v>23</v>
      </c>
      <c r="D16" s="29" t="s">
        <v>459</v>
      </c>
      <c r="E16" s="30" t="s">
        <v>297</v>
      </c>
      <c r="F16" s="184"/>
      <c r="G16" s="172"/>
      <c r="H16" s="172"/>
      <c r="I16" s="172"/>
      <c r="J16" s="172"/>
      <c r="K16" s="172"/>
      <c r="L16" s="172"/>
      <c r="M16" s="172"/>
      <c r="N16" s="172"/>
      <c r="O16" s="172"/>
      <c r="P16" s="172"/>
      <c r="Q16" s="172"/>
      <c r="R16" s="172"/>
      <c r="S16" s="172"/>
      <c r="T16" s="173"/>
      <c r="U16" s="1"/>
      <c r="V16" s="2"/>
      <c r="W16" s="2"/>
      <c r="X16" s="2"/>
      <c r="Y16" s="6"/>
    </row>
    <row r="17" spans="1:25" ht="15.9" customHeight="1" thickBot="1" x14ac:dyDescent="0.65">
      <c r="A17" s="179">
        <v>12</v>
      </c>
      <c r="B17" s="28" t="s">
        <v>726</v>
      </c>
      <c r="C17" s="28" t="s">
        <v>23</v>
      </c>
      <c r="D17" s="28" t="s">
        <v>301</v>
      </c>
      <c r="E17" s="31" t="s">
        <v>727</v>
      </c>
      <c r="F17" s="18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174"/>
      <c r="U17" s="4"/>
      <c r="V17" s="3"/>
      <c r="W17" s="3"/>
      <c r="X17" s="3"/>
      <c r="Y17" s="8"/>
    </row>
    <row r="18" spans="1:25" ht="15.9" customHeight="1" x14ac:dyDescent="0.6">
      <c r="A18" s="179">
        <v>13</v>
      </c>
      <c r="B18" s="28" t="s">
        <v>728</v>
      </c>
      <c r="C18" s="28" t="s">
        <v>23</v>
      </c>
      <c r="D18" s="28" t="s">
        <v>304</v>
      </c>
      <c r="E18" s="31" t="s">
        <v>305</v>
      </c>
      <c r="F18" s="18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174"/>
      <c r="U18" s="9"/>
      <c r="V18" s="10"/>
      <c r="W18" s="10"/>
      <c r="X18" s="10"/>
      <c r="Y18" s="14"/>
    </row>
    <row r="19" spans="1:25" ht="15.9" customHeight="1" x14ac:dyDescent="0.6">
      <c r="A19" s="179">
        <v>14</v>
      </c>
      <c r="B19" s="28" t="s">
        <v>729</v>
      </c>
      <c r="C19" s="28" t="s">
        <v>23</v>
      </c>
      <c r="D19" s="28" t="s">
        <v>50</v>
      </c>
      <c r="E19" s="31" t="s">
        <v>300</v>
      </c>
      <c r="F19" s="18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174"/>
      <c r="U19" s="1"/>
      <c r="V19" s="2"/>
      <c r="W19" s="2"/>
      <c r="X19" s="2"/>
      <c r="Y19" s="6"/>
    </row>
    <row r="20" spans="1:25" ht="15.9" customHeight="1" thickBot="1" x14ac:dyDescent="0.65">
      <c r="A20" s="180">
        <v>15</v>
      </c>
      <c r="B20" s="20" t="s">
        <v>731</v>
      </c>
      <c r="C20" s="20" t="s">
        <v>23</v>
      </c>
      <c r="D20" s="20" t="s">
        <v>732</v>
      </c>
      <c r="E20" s="21" t="s">
        <v>44</v>
      </c>
      <c r="F20" s="186"/>
      <c r="G20" s="175"/>
      <c r="H20" s="175"/>
      <c r="I20" s="175"/>
      <c r="J20" s="175"/>
      <c r="K20" s="175"/>
      <c r="L20" s="175"/>
      <c r="M20" s="175"/>
      <c r="N20" s="175"/>
      <c r="O20" s="175"/>
      <c r="P20" s="175"/>
      <c r="Q20" s="175"/>
      <c r="R20" s="175"/>
      <c r="S20" s="175"/>
      <c r="T20" s="176"/>
      <c r="U20" s="1"/>
      <c r="V20" s="2"/>
      <c r="W20" s="2"/>
      <c r="X20" s="2"/>
      <c r="Y20" s="6"/>
    </row>
    <row r="21" spans="1:25" ht="15.9" customHeight="1" x14ac:dyDescent="0.6">
      <c r="A21" s="178">
        <v>16</v>
      </c>
      <c r="B21" s="29" t="s">
        <v>971</v>
      </c>
      <c r="C21" s="29" t="s">
        <v>23</v>
      </c>
      <c r="D21" s="29" t="s">
        <v>972</v>
      </c>
      <c r="E21" s="30" t="s">
        <v>973</v>
      </c>
      <c r="F21" s="184"/>
      <c r="G21" s="172"/>
      <c r="H21" s="172"/>
      <c r="I21" s="172"/>
      <c r="J21" s="172"/>
      <c r="K21" s="172"/>
      <c r="L21" s="172"/>
      <c r="M21" s="172"/>
      <c r="N21" s="172"/>
      <c r="O21" s="172"/>
      <c r="P21" s="172"/>
      <c r="Q21" s="172"/>
      <c r="R21" s="172"/>
      <c r="S21" s="172"/>
      <c r="T21" s="173"/>
      <c r="U21" s="1"/>
      <c r="V21" s="2"/>
      <c r="W21" s="2"/>
      <c r="X21" s="2"/>
      <c r="Y21" s="6"/>
    </row>
    <row r="22" spans="1:25" ht="15.9" customHeight="1" thickBot="1" x14ac:dyDescent="0.65">
      <c r="A22" s="179">
        <v>17</v>
      </c>
      <c r="B22" s="28" t="s">
        <v>997</v>
      </c>
      <c r="C22" s="28" t="s">
        <v>23</v>
      </c>
      <c r="D22" s="28" t="s">
        <v>998</v>
      </c>
      <c r="E22" s="31" t="s">
        <v>999</v>
      </c>
      <c r="F22" s="18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174"/>
      <c r="U22" s="26"/>
      <c r="V22" s="27"/>
      <c r="W22" s="27"/>
      <c r="X22" s="27"/>
      <c r="Y22" s="23"/>
    </row>
    <row r="23" spans="1:25" ht="15.9" customHeight="1" x14ac:dyDescent="0.6">
      <c r="A23" s="179">
        <v>18</v>
      </c>
      <c r="B23" s="28" t="s">
        <v>733</v>
      </c>
      <c r="C23" s="28" t="s">
        <v>24</v>
      </c>
      <c r="D23" s="28" t="s">
        <v>306</v>
      </c>
      <c r="E23" s="31" t="s">
        <v>307</v>
      </c>
      <c r="F23" s="18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174"/>
      <c r="U23" s="24"/>
      <c r="V23" s="12"/>
      <c r="W23" s="12"/>
      <c r="X23" s="12"/>
      <c r="Y23" s="13"/>
    </row>
    <row r="24" spans="1:25" ht="15.9" customHeight="1" x14ac:dyDescent="0.6">
      <c r="A24" s="179">
        <v>19</v>
      </c>
      <c r="B24" s="28" t="s">
        <v>734</v>
      </c>
      <c r="C24" s="28" t="s">
        <v>24</v>
      </c>
      <c r="D24" s="28" t="s">
        <v>7</v>
      </c>
      <c r="E24" s="31" t="s">
        <v>314</v>
      </c>
      <c r="F24" s="18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174"/>
      <c r="U24" s="1"/>
      <c r="V24" s="2"/>
      <c r="W24" s="2"/>
      <c r="X24" s="2"/>
      <c r="Y24" s="6"/>
    </row>
    <row r="25" spans="1:25" ht="15.9" customHeight="1" thickBot="1" x14ac:dyDescent="0.65">
      <c r="A25" s="180">
        <v>20</v>
      </c>
      <c r="B25" s="20" t="s">
        <v>736</v>
      </c>
      <c r="C25" s="20" t="s">
        <v>24</v>
      </c>
      <c r="D25" s="20" t="s">
        <v>258</v>
      </c>
      <c r="E25" s="21" t="s">
        <v>42</v>
      </c>
      <c r="F25" s="186"/>
      <c r="G25" s="175"/>
      <c r="H25" s="175"/>
      <c r="I25" s="175"/>
      <c r="J25" s="175"/>
      <c r="K25" s="175"/>
      <c r="L25" s="175"/>
      <c r="M25" s="175"/>
      <c r="N25" s="175"/>
      <c r="O25" s="175"/>
      <c r="P25" s="175"/>
      <c r="Q25" s="175"/>
      <c r="R25" s="175"/>
      <c r="S25" s="175"/>
      <c r="T25" s="176"/>
      <c r="U25" s="1"/>
      <c r="V25" s="2"/>
      <c r="W25" s="2"/>
      <c r="X25" s="2"/>
      <c r="Y25" s="6"/>
    </row>
    <row r="26" spans="1:25" ht="15.9" customHeight="1" x14ac:dyDescent="0.6">
      <c r="A26" s="178">
        <v>21</v>
      </c>
      <c r="B26" s="29" t="s">
        <v>738</v>
      </c>
      <c r="C26" s="29" t="s">
        <v>24</v>
      </c>
      <c r="D26" s="29" t="s">
        <v>312</v>
      </c>
      <c r="E26" s="30" t="s">
        <v>59</v>
      </c>
      <c r="F26" s="184"/>
      <c r="G26" s="172"/>
      <c r="H26" s="172"/>
      <c r="I26" s="172"/>
      <c r="J26" s="172"/>
      <c r="K26" s="172"/>
      <c r="L26" s="172"/>
      <c r="M26" s="172"/>
      <c r="N26" s="172"/>
      <c r="O26" s="172"/>
      <c r="P26" s="172"/>
      <c r="Q26" s="172"/>
      <c r="R26" s="172"/>
      <c r="S26" s="172"/>
      <c r="T26" s="173"/>
      <c r="U26" s="1"/>
      <c r="V26" s="2"/>
      <c r="W26" s="2"/>
      <c r="X26" s="2"/>
      <c r="Y26" s="6"/>
    </row>
    <row r="27" spans="1:25" ht="15.9" customHeight="1" thickBot="1" x14ac:dyDescent="0.65">
      <c r="A27" s="179">
        <v>22</v>
      </c>
      <c r="B27" s="28" t="s">
        <v>739</v>
      </c>
      <c r="C27" s="28" t="s">
        <v>24</v>
      </c>
      <c r="D27" s="28" t="s">
        <v>313</v>
      </c>
      <c r="E27" s="31" t="s">
        <v>190</v>
      </c>
      <c r="F27" s="18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174"/>
      <c r="U27" s="26"/>
      <c r="V27" s="27"/>
      <c r="W27" s="27"/>
      <c r="X27" s="27"/>
      <c r="Y27" s="23"/>
    </row>
    <row r="28" spans="1:25" ht="15.9" customHeight="1" x14ac:dyDescent="0.6">
      <c r="A28" s="179">
        <v>23</v>
      </c>
      <c r="B28" s="28" t="s">
        <v>740</v>
      </c>
      <c r="C28" s="28" t="s">
        <v>24</v>
      </c>
      <c r="D28" s="28" t="s">
        <v>741</v>
      </c>
      <c r="E28" s="31" t="s">
        <v>319</v>
      </c>
      <c r="F28" s="18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174"/>
      <c r="U28" s="24"/>
      <c r="V28" s="12"/>
      <c r="W28" s="12"/>
      <c r="X28" s="12"/>
      <c r="Y28" s="13"/>
    </row>
    <row r="29" spans="1:25" ht="15.9" customHeight="1" x14ac:dyDescent="0.6">
      <c r="A29" s="179">
        <v>24</v>
      </c>
      <c r="B29" s="28" t="s">
        <v>742</v>
      </c>
      <c r="C29" s="28" t="s">
        <v>24</v>
      </c>
      <c r="D29" s="28" t="s">
        <v>743</v>
      </c>
      <c r="E29" s="31" t="s">
        <v>11</v>
      </c>
      <c r="F29" s="18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174"/>
      <c r="U29" s="1"/>
      <c r="V29" s="2"/>
      <c r="W29" s="2"/>
      <c r="X29" s="2"/>
      <c r="Y29" s="6"/>
    </row>
    <row r="30" spans="1:25" ht="15.9" customHeight="1" thickBot="1" x14ac:dyDescent="0.65">
      <c r="A30" s="180">
        <v>25</v>
      </c>
      <c r="B30" s="20" t="s">
        <v>744</v>
      </c>
      <c r="C30" s="20" t="s">
        <v>24</v>
      </c>
      <c r="D30" s="20" t="s">
        <v>315</v>
      </c>
      <c r="E30" s="21" t="s">
        <v>316</v>
      </c>
      <c r="F30" s="186"/>
      <c r="G30" s="175"/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175"/>
      <c r="T30" s="176"/>
      <c r="U30" s="1"/>
      <c r="V30" s="2"/>
      <c r="W30" s="2"/>
      <c r="X30" s="2"/>
      <c r="Y30" s="6"/>
    </row>
    <row r="31" spans="1:25" ht="15.9" customHeight="1" x14ac:dyDescent="0.6">
      <c r="A31" s="178">
        <v>26</v>
      </c>
      <c r="B31" s="29" t="s">
        <v>745</v>
      </c>
      <c r="C31" s="29" t="s">
        <v>24</v>
      </c>
      <c r="D31" s="29" t="s">
        <v>317</v>
      </c>
      <c r="E31" s="30" t="s">
        <v>318</v>
      </c>
      <c r="F31" s="184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2"/>
      <c r="S31" s="172"/>
      <c r="T31" s="173"/>
      <c r="U31" s="1"/>
      <c r="V31" s="2"/>
      <c r="W31" s="2"/>
      <c r="X31" s="2"/>
      <c r="Y31" s="6"/>
    </row>
    <row r="32" spans="1:25" ht="15.9" customHeight="1" thickBot="1" x14ac:dyDescent="0.65">
      <c r="A32" s="179">
        <v>27</v>
      </c>
      <c r="B32" s="28" t="s">
        <v>956</v>
      </c>
      <c r="C32" s="28" t="s">
        <v>24</v>
      </c>
      <c r="D32" s="28" t="s">
        <v>957</v>
      </c>
      <c r="E32" s="31" t="s">
        <v>958</v>
      </c>
      <c r="F32" s="18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174"/>
      <c r="U32" s="4"/>
      <c r="V32" s="3"/>
      <c r="W32" s="3"/>
      <c r="X32" s="3"/>
      <c r="Y32" s="8"/>
    </row>
    <row r="33" spans="1:25" ht="15.9" customHeight="1" x14ac:dyDescent="0.6">
      <c r="A33" s="179"/>
      <c r="B33" s="28"/>
      <c r="C33" s="32"/>
      <c r="D33" s="28"/>
      <c r="E33" s="31"/>
      <c r="F33" s="18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174"/>
      <c r="U33" s="9"/>
      <c r="V33" s="10"/>
      <c r="W33" s="10"/>
      <c r="X33" s="10"/>
      <c r="Y33" s="14"/>
    </row>
    <row r="34" spans="1:25" ht="15.9" customHeight="1" x14ac:dyDescent="0.6">
      <c r="A34" s="179"/>
      <c r="B34" s="28"/>
      <c r="C34" s="32"/>
      <c r="D34" s="28"/>
      <c r="E34" s="31"/>
      <c r="F34" s="18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174"/>
      <c r="U34" s="1"/>
      <c r="V34" s="2"/>
      <c r="W34" s="2"/>
      <c r="X34" s="2"/>
      <c r="Y34" s="6"/>
    </row>
    <row r="35" spans="1:25" ht="15.9" customHeight="1" thickBot="1" x14ac:dyDescent="0.65">
      <c r="A35" s="180"/>
      <c r="B35" s="20"/>
      <c r="C35" s="181"/>
      <c r="D35" s="20"/>
      <c r="E35" s="21"/>
      <c r="F35" s="186"/>
      <c r="G35" s="175"/>
      <c r="H35" s="175"/>
      <c r="I35" s="175"/>
      <c r="J35" s="175"/>
      <c r="K35" s="175"/>
      <c r="L35" s="175"/>
      <c r="M35" s="175"/>
      <c r="N35" s="175"/>
      <c r="O35" s="175"/>
      <c r="P35" s="175"/>
      <c r="Q35" s="175"/>
      <c r="R35" s="175"/>
      <c r="S35" s="175"/>
      <c r="T35" s="176"/>
      <c r="U35" s="1"/>
      <c r="V35" s="2"/>
      <c r="W35" s="2"/>
      <c r="X35" s="2"/>
      <c r="Y35" s="6"/>
    </row>
    <row r="36" spans="1:25" ht="15.9" customHeight="1" x14ac:dyDescent="0.6">
      <c r="A36" s="238"/>
      <c r="B36" s="168"/>
      <c r="C36" s="168"/>
      <c r="D36" s="168"/>
      <c r="E36" s="168"/>
      <c r="F36" s="192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  <c r="U36" s="1"/>
      <c r="V36" s="2"/>
      <c r="W36" s="2"/>
      <c r="X36" s="2"/>
      <c r="Y36" s="6"/>
    </row>
    <row r="37" spans="1:25" ht="15.9" customHeight="1" thickBot="1" x14ac:dyDescent="0.65">
      <c r="A37" s="70"/>
      <c r="B37" s="28"/>
      <c r="C37" s="28"/>
      <c r="D37" s="28"/>
      <c r="E37" s="28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4"/>
      <c r="V37" s="3"/>
      <c r="W37" s="3"/>
      <c r="X37" s="3"/>
      <c r="Y37" s="8"/>
    </row>
    <row r="38" spans="1:25" ht="15.9" customHeight="1" x14ac:dyDescent="0.6">
      <c r="A38" s="70"/>
      <c r="B38" s="71"/>
      <c r="C38" s="71"/>
      <c r="D38" s="71"/>
      <c r="E38" s="71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24"/>
      <c r="V38" s="12"/>
      <c r="W38" s="12"/>
      <c r="X38" s="12"/>
      <c r="Y38" s="13"/>
    </row>
    <row r="39" spans="1:25" ht="15.9" customHeight="1" x14ac:dyDescent="0.6">
      <c r="A39" s="70"/>
      <c r="B39" s="71"/>
      <c r="C39" s="71"/>
      <c r="D39" s="71"/>
      <c r="E39" s="71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1"/>
      <c r="V39" s="2"/>
      <c r="W39" s="2"/>
      <c r="X39" s="2"/>
      <c r="Y39" s="6"/>
    </row>
    <row r="40" spans="1:25" ht="15.9" customHeight="1" x14ac:dyDescent="0.6">
      <c r="A40" s="70"/>
      <c r="B40" s="71"/>
      <c r="C40" s="71"/>
      <c r="D40" s="71"/>
      <c r="E40" s="71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1"/>
      <c r="V40" s="2"/>
      <c r="W40" s="2"/>
      <c r="X40" s="2"/>
      <c r="Y40" s="6"/>
    </row>
    <row r="41" spans="1:25" ht="15.9" customHeight="1" x14ac:dyDescent="0.6">
      <c r="A41" s="77" t="s">
        <v>20</v>
      </c>
      <c r="B41" s="78" cm="1">
        <f t="array" ref="B41">SUM(COUNTIF(C6:C40,{"นาย","เด็กชาย"}))</f>
        <v>17</v>
      </c>
      <c r="C41" s="79" t="s">
        <v>21</v>
      </c>
      <c r="D41" s="78" cm="1">
        <f t="array" ref="D41">SUM(COUNTIF(C6:C40,{"นางสาว","เด็กหญิง"}))</f>
        <v>10</v>
      </c>
      <c r="E41" s="80" t="s">
        <v>22</v>
      </c>
      <c r="F41" s="76">
        <f>B41+D41</f>
        <v>27</v>
      </c>
      <c r="U41" s="15"/>
    </row>
  </sheetData>
  <sortState xmlns:xlrd2="http://schemas.microsoft.com/office/spreadsheetml/2017/richdata2" ref="C33:E37">
    <sortCondition ref="C33:C37"/>
    <sortCondition ref="D33:D37"/>
  </sortState>
  <mergeCells count="25">
    <mergeCell ref="F3:O3"/>
    <mergeCell ref="V4:V5"/>
    <mergeCell ref="Q4:Q5"/>
    <mergeCell ref="R4:R5"/>
    <mergeCell ref="S4:S5"/>
    <mergeCell ref="T4:T5"/>
    <mergeCell ref="U4:U5"/>
    <mergeCell ref="P4:P5"/>
    <mergeCell ref="F4:F5"/>
    <mergeCell ref="A1:Y1"/>
    <mergeCell ref="C4:E5"/>
    <mergeCell ref="G4:G5"/>
    <mergeCell ref="H4:H5"/>
    <mergeCell ref="I4:I5"/>
    <mergeCell ref="J4:J5"/>
    <mergeCell ref="K4:K5"/>
    <mergeCell ref="L4:L5"/>
    <mergeCell ref="M4:M5"/>
    <mergeCell ref="N4:N5"/>
    <mergeCell ref="O4:O5"/>
    <mergeCell ref="W4:W5"/>
    <mergeCell ref="X4:X5"/>
    <mergeCell ref="Y4:Y5"/>
    <mergeCell ref="A2:C2"/>
    <mergeCell ref="F2:O2"/>
  </mergeCells>
  <printOptions horizontalCentered="1"/>
  <pageMargins left="0.39370078740157483" right="0" top="0.39370078740157483" bottom="0" header="0.31496062992125984" footer="0.31496062992125984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41"/>
  <sheetViews>
    <sheetView topLeftCell="A5" workbookViewId="0">
      <selection activeCell="E38" sqref="A6:E38"/>
    </sheetView>
  </sheetViews>
  <sheetFormatPr defaultRowHeight="15.9" customHeight="1" x14ac:dyDescent="0.25"/>
  <cols>
    <col min="1" max="1" width="3.8984375" style="76" customWidth="1"/>
    <col min="2" max="2" width="6.69921875" style="76" customWidth="1"/>
    <col min="3" max="3" width="7.19921875" style="76" customWidth="1"/>
    <col min="4" max="4" width="11" style="76" customWidth="1"/>
    <col min="5" max="5" width="13.09765625" style="76" customWidth="1"/>
    <col min="6" max="20" width="2.69921875" style="76" customWidth="1"/>
    <col min="21" max="25" width="2.69921875" hidden="1" customWidth="1"/>
    <col min="26" max="27" width="0" hidden="1" customWidth="1"/>
  </cols>
  <sheetData>
    <row r="1" spans="1:25" s="68" customFormat="1" ht="15.9" customHeight="1" x14ac:dyDescent="0.25">
      <c r="A1" s="318" t="s">
        <v>1001</v>
      </c>
      <c r="B1" s="318"/>
      <c r="C1" s="318"/>
      <c r="D1" s="318"/>
      <c r="E1" s="318"/>
      <c r="F1" s="318"/>
      <c r="G1" s="318"/>
      <c r="H1" s="318"/>
      <c r="I1" s="318"/>
      <c r="J1" s="318"/>
      <c r="K1" s="318"/>
      <c r="L1" s="318"/>
      <c r="M1" s="318"/>
      <c r="N1" s="318"/>
      <c r="O1" s="318"/>
      <c r="P1" s="318"/>
      <c r="Q1" s="318"/>
      <c r="R1" s="318"/>
      <c r="S1" s="318"/>
      <c r="T1" s="318"/>
      <c r="U1" s="318"/>
      <c r="V1" s="318"/>
      <c r="W1" s="318"/>
      <c r="X1" s="318"/>
      <c r="Y1" s="318"/>
    </row>
    <row r="2" spans="1:25" s="68" customFormat="1" ht="15.9" customHeight="1" x14ac:dyDescent="0.25">
      <c r="A2" s="303" t="s">
        <v>5</v>
      </c>
      <c r="B2" s="303"/>
      <c r="C2" s="303"/>
      <c r="D2" s="82">
        <v>607</v>
      </c>
      <c r="E2" s="82" t="s">
        <v>6</v>
      </c>
      <c r="F2" s="304" t="s">
        <v>934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304"/>
      <c r="U2" s="69"/>
      <c r="V2" s="69"/>
      <c r="W2" s="69"/>
      <c r="X2" s="69"/>
      <c r="Y2" s="69"/>
    </row>
    <row r="3" spans="1:25" s="68" customFormat="1" ht="15.9" customHeight="1" thickBot="1" x14ac:dyDescent="0.3">
      <c r="A3" s="74"/>
      <c r="B3" s="83" t="s">
        <v>921</v>
      </c>
      <c r="C3" s="83"/>
      <c r="D3" s="83"/>
      <c r="E3" s="83"/>
      <c r="F3" s="336" t="s">
        <v>980</v>
      </c>
      <c r="G3" s="336"/>
      <c r="H3" s="336"/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69"/>
      <c r="V3" s="69"/>
      <c r="W3" s="69"/>
      <c r="X3" s="69"/>
      <c r="Y3" s="69"/>
    </row>
    <row r="4" spans="1:25" ht="15.9" customHeight="1" x14ac:dyDescent="0.25">
      <c r="A4" s="284" t="s">
        <v>1</v>
      </c>
      <c r="B4" s="285" t="s">
        <v>2</v>
      </c>
      <c r="C4" s="330" t="s">
        <v>3</v>
      </c>
      <c r="D4" s="330"/>
      <c r="E4" s="331"/>
      <c r="F4" s="334"/>
      <c r="G4" s="330"/>
      <c r="H4" s="330"/>
      <c r="I4" s="330"/>
      <c r="J4" s="330"/>
      <c r="K4" s="330"/>
      <c r="L4" s="330"/>
      <c r="M4" s="330"/>
      <c r="N4" s="330"/>
      <c r="O4" s="330"/>
      <c r="P4" s="330"/>
      <c r="Q4" s="330"/>
      <c r="R4" s="330"/>
      <c r="S4" s="330"/>
      <c r="T4" s="331"/>
      <c r="U4" s="325"/>
      <c r="V4" s="323"/>
      <c r="W4" s="323"/>
      <c r="X4" s="323"/>
      <c r="Y4" s="321"/>
    </row>
    <row r="5" spans="1:25" ht="15.9" customHeight="1" thickBot="1" x14ac:dyDescent="0.3">
      <c r="A5" s="286" t="s">
        <v>0</v>
      </c>
      <c r="B5" s="287" t="s">
        <v>4</v>
      </c>
      <c r="C5" s="332"/>
      <c r="D5" s="332"/>
      <c r="E5" s="333"/>
      <c r="F5" s="335"/>
      <c r="G5" s="332"/>
      <c r="H5" s="332"/>
      <c r="I5" s="332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3"/>
      <c r="U5" s="329"/>
      <c r="V5" s="328"/>
      <c r="W5" s="328"/>
      <c r="X5" s="328"/>
      <c r="Y5" s="327"/>
    </row>
    <row r="6" spans="1:25" ht="15.9" customHeight="1" x14ac:dyDescent="0.6">
      <c r="A6" s="178">
        <v>1</v>
      </c>
      <c r="B6" s="29" t="s">
        <v>610</v>
      </c>
      <c r="C6" s="29" t="s">
        <v>23</v>
      </c>
      <c r="D6" s="29" t="s">
        <v>183</v>
      </c>
      <c r="E6" s="30" t="s">
        <v>184</v>
      </c>
      <c r="F6" s="184"/>
      <c r="G6" s="172"/>
      <c r="H6" s="172"/>
      <c r="I6" s="172"/>
      <c r="J6" s="172"/>
      <c r="K6" s="172"/>
      <c r="L6" s="172"/>
      <c r="M6" s="172"/>
      <c r="N6" s="172"/>
      <c r="O6" s="172"/>
      <c r="P6" s="172"/>
      <c r="Q6" s="172"/>
      <c r="R6" s="172"/>
      <c r="S6" s="172"/>
      <c r="T6" s="173"/>
      <c r="U6" s="24"/>
      <c r="V6" s="12"/>
      <c r="W6" s="12"/>
      <c r="X6" s="12"/>
      <c r="Y6" s="13"/>
    </row>
    <row r="7" spans="1:25" ht="15.9" customHeight="1" x14ac:dyDescent="0.6">
      <c r="A7" s="179">
        <v>2</v>
      </c>
      <c r="B7" s="28" t="s">
        <v>746</v>
      </c>
      <c r="C7" s="28" t="s">
        <v>23</v>
      </c>
      <c r="D7" s="28" t="s">
        <v>121</v>
      </c>
      <c r="E7" s="31" t="s">
        <v>321</v>
      </c>
      <c r="F7" s="185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174"/>
      <c r="U7" s="1"/>
      <c r="V7" s="2"/>
      <c r="W7" s="2"/>
      <c r="X7" s="2"/>
      <c r="Y7" s="6"/>
    </row>
    <row r="8" spans="1:25" ht="15.9" customHeight="1" x14ac:dyDescent="0.6">
      <c r="A8" s="179">
        <v>3</v>
      </c>
      <c r="B8" s="28" t="s">
        <v>747</v>
      </c>
      <c r="C8" s="28" t="s">
        <v>23</v>
      </c>
      <c r="D8" s="28" t="s">
        <v>748</v>
      </c>
      <c r="E8" s="31" t="s">
        <v>749</v>
      </c>
      <c r="F8" s="18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174"/>
      <c r="U8" s="1"/>
      <c r="V8" s="2"/>
      <c r="W8" s="2"/>
      <c r="X8" s="2"/>
      <c r="Y8" s="6"/>
    </row>
    <row r="9" spans="1:25" ht="15.9" customHeight="1" x14ac:dyDescent="0.6">
      <c r="A9" s="179">
        <v>4</v>
      </c>
      <c r="B9" s="28" t="s">
        <v>751</v>
      </c>
      <c r="C9" s="28" t="s">
        <v>23</v>
      </c>
      <c r="D9" s="28" t="s">
        <v>322</v>
      </c>
      <c r="E9" s="31" t="s">
        <v>270</v>
      </c>
      <c r="F9" s="185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174"/>
      <c r="U9" s="1"/>
      <c r="V9" s="2"/>
      <c r="W9" s="2"/>
      <c r="X9" s="2"/>
      <c r="Y9" s="6"/>
    </row>
    <row r="10" spans="1:25" ht="15.9" customHeight="1" thickBot="1" x14ac:dyDescent="0.65">
      <c r="A10" s="180">
        <v>5</v>
      </c>
      <c r="B10" s="20" t="s">
        <v>752</v>
      </c>
      <c r="C10" s="20" t="s">
        <v>23</v>
      </c>
      <c r="D10" s="20" t="s">
        <v>324</v>
      </c>
      <c r="E10" s="21" t="s">
        <v>325</v>
      </c>
      <c r="F10" s="186"/>
      <c r="G10" s="175"/>
      <c r="H10" s="175"/>
      <c r="I10" s="175"/>
      <c r="J10" s="175"/>
      <c r="K10" s="175"/>
      <c r="L10" s="175"/>
      <c r="M10" s="175"/>
      <c r="N10" s="175"/>
      <c r="O10" s="175"/>
      <c r="P10" s="175"/>
      <c r="Q10" s="175"/>
      <c r="R10" s="175"/>
      <c r="S10" s="175"/>
      <c r="T10" s="176"/>
      <c r="U10" s="4"/>
      <c r="V10" s="3"/>
      <c r="W10" s="3"/>
      <c r="X10" s="3"/>
      <c r="Y10" s="8"/>
    </row>
    <row r="11" spans="1:25" ht="15.9" customHeight="1" x14ac:dyDescent="0.6">
      <c r="A11" s="178">
        <v>6</v>
      </c>
      <c r="B11" s="29" t="s">
        <v>753</v>
      </c>
      <c r="C11" s="29" t="s">
        <v>23</v>
      </c>
      <c r="D11" s="29" t="s">
        <v>329</v>
      </c>
      <c r="E11" s="30" t="s">
        <v>330</v>
      </c>
      <c r="F11" s="184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3"/>
      <c r="U11" s="9"/>
      <c r="V11" s="10"/>
      <c r="W11" s="10"/>
      <c r="X11" s="10"/>
      <c r="Y11" s="14"/>
    </row>
    <row r="12" spans="1:25" ht="15.9" customHeight="1" x14ac:dyDescent="0.6">
      <c r="A12" s="179">
        <v>7</v>
      </c>
      <c r="B12" s="28" t="s">
        <v>754</v>
      </c>
      <c r="C12" s="28" t="s">
        <v>23</v>
      </c>
      <c r="D12" s="28" t="s">
        <v>323</v>
      </c>
      <c r="E12" s="31" t="s">
        <v>8</v>
      </c>
      <c r="F12" s="185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174"/>
      <c r="U12" s="1"/>
      <c r="V12" s="2"/>
      <c r="W12" s="2"/>
      <c r="X12" s="2"/>
      <c r="Y12" s="6"/>
    </row>
    <row r="13" spans="1:25" ht="15.9" customHeight="1" x14ac:dyDescent="0.6">
      <c r="A13" s="179">
        <v>8</v>
      </c>
      <c r="B13" s="28" t="s">
        <v>755</v>
      </c>
      <c r="C13" s="28" t="s">
        <v>23</v>
      </c>
      <c r="D13" s="28" t="s">
        <v>328</v>
      </c>
      <c r="E13" s="31" t="s">
        <v>1000</v>
      </c>
      <c r="F13" s="18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1"/>
      <c r="R13" s="75"/>
      <c r="S13" s="75"/>
      <c r="T13" s="174"/>
      <c r="U13" s="1"/>
      <c r="W13" s="2"/>
      <c r="X13" s="2"/>
      <c r="Y13" s="6"/>
    </row>
    <row r="14" spans="1:25" ht="15.9" customHeight="1" x14ac:dyDescent="0.6">
      <c r="A14" s="179">
        <v>9</v>
      </c>
      <c r="B14" s="28" t="s">
        <v>756</v>
      </c>
      <c r="C14" s="28" t="s">
        <v>23</v>
      </c>
      <c r="D14" s="28" t="s">
        <v>326</v>
      </c>
      <c r="E14" s="31" t="s">
        <v>327</v>
      </c>
      <c r="F14" s="18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174"/>
      <c r="U14" s="1"/>
      <c r="V14" s="2"/>
      <c r="W14" s="2"/>
      <c r="X14" s="2"/>
      <c r="Y14" s="6"/>
    </row>
    <row r="15" spans="1:25" ht="15.9" customHeight="1" thickBot="1" x14ac:dyDescent="0.65">
      <c r="A15" s="180">
        <v>10</v>
      </c>
      <c r="B15" s="20" t="s">
        <v>757</v>
      </c>
      <c r="C15" s="20" t="s">
        <v>23</v>
      </c>
      <c r="D15" s="20" t="s">
        <v>331</v>
      </c>
      <c r="E15" s="21" t="s">
        <v>332</v>
      </c>
      <c r="F15" s="186"/>
      <c r="G15" s="175"/>
      <c r="H15" s="175"/>
      <c r="I15" s="175"/>
      <c r="J15" s="175"/>
      <c r="K15" s="175"/>
      <c r="L15" s="175"/>
      <c r="M15" s="175"/>
      <c r="N15" s="175"/>
      <c r="O15" s="175"/>
      <c r="P15" s="175"/>
      <c r="Q15" s="175"/>
      <c r="R15" s="175"/>
      <c r="S15" s="175"/>
      <c r="T15" s="176"/>
      <c r="U15" s="4"/>
      <c r="V15" s="3"/>
      <c r="W15" s="3"/>
      <c r="X15" s="3"/>
      <c r="Y15" s="8"/>
    </row>
    <row r="16" spans="1:25" ht="15.9" customHeight="1" x14ac:dyDescent="0.6">
      <c r="A16" s="178">
        <v>11</v>
      </c>
      <c r="B16" s="29" t="s">
        <v>758</v>
      </c>
      <c r="C16" s="29" t="s">
        <v>23</v>
      </c>
      <c r="D16" s="29" t="s">
        <v>333</v>
      </c>
      <c r="E16" s="30" t="s">
        <v>334</v>
      </c>
      <c r="F16" s="184"/>
      <c r="G16" s="172"/>
      <c r="H16" s="172"/>
      <c r="I16" s="172"/>
      <c r="J16" s="172"/>
      <c r="K16" s="172"/>
      <c r="L16" s="172"/>
      <c r="M16" s="172"/>
      <c r="N16" s="172"/>
      <c r="O16" s="172"/>
      <c r="P16" s="172"/>
      <c r="Q16" s="172"/>
      <c r="R16" s="172"/>
      <c r="S16" s="172"/>
      <c r="T16" s="173"/>
      <c r="U16" s="9"/>
      <c r="V16" s="10"/>
      <c r="W16" s="10"/>
      <c r="X16" s="10"/>
      <c r="Y16" s="14"/>
    </row>
    <row r="17" spans="1:25" ht="15.9" customHeight="1" x14ac:dyDescent="0.6">
      <c r="A17" s="179">
        <v>12</v>
      </c>
      <c r="B17" s="28" t="s">
        <v>759</v>
      </c>
      <c r="C17" s="28" t="s">
        <v>23</v>
      </c>
      <c r="D17" s="28" t="s">
        <v>760</v>
      </c>
      <c r="E17" s="31" t="s">
        <v>363</v>
      </c>
      <c r="F17" s="18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174"/>
      <c r="U17" s="9"/>
      <c r="V17" s="10"/>
      <c r="W17" s="10"/>
      <c r="X17" s="10"/>
      <c r="Y17" s="14"/>
    </row>
    <row r="18" spans="1:25" ht="15.9" customHeight="1" x14ac:dyDescent="0.6">
      <c r="A18" s="179">
        <v>13</v>
      </c>
      <c r="B18" s="28" t="s">
        <v>761</v>
      </c>
      <c r="C18" s="28" t="s">
        <v>23</v>
      </c>
      <c r="D18" s="28" t="s">
        <v>335</v>
      </c>
      <c r="E18" s="31" t="s">
        <v>336</v>
      </c>
      <c r="F18" s="18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174"/>
      <c r="U18" s="1"/>
      <c r="V18" s="2"/>
      <c r="W18" s="2"/>
      <c r="X18" s="2"/>
      <c r="Y18" s="6"/>
    </row>
    <row r="19" spans="1:25" ht="15.9" customHeight="1" x14ac:dyDescent="0.6">
      <c r="A19" s="179">
        <v>14</v>
      </c>
      <c r="B19" s="28" t="s">
        <v>965</v>
      </c>
      <c r="C19" s="28" t="s">
        <v>23</v>
      </c>
      <c r="D19" s="28" t="s">
        <v>966</v>
      </c>
      <c r="E19" s="31" t="s">
        <v>967</v>
      </c>
      <c r="F19" s="18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174"/>
      <c r="U19" s="1"/>
      <c r="V19" s="2"/>
      <c r="W19" s="2"/>
      <c r="X19" s="2"/>
      <c r="Y19" s="6"/>
    </row>
    <row r="20" spans="1:25" ht="15.9" customHeight="1" thickBot="1" x14ac:dyDescent="0.65">
      <c r="A20" s="180">
        <v>15</v>
      </c>
      <c r="B20" s="20" t="s">
        <v>762</v>
      </c>
      <c r="C20" s="20" t="s">
        <v>24</v>
      </c>
      <c r="D20" s="20" t="s">
        <v>341</v>
      </c>
      <c r="E20" s="21" t="s">
        <v>342</v>
      </c>
      <c r="F20" s="186"/>
      <c r="G20" s="175"/>
      <c r="H20" s="175"/>
      <c r="I20" s="175"/>
      <c r="J20" s="175"/>
      <c r="K20" s="175"/>
      <c r="L20" s="175"/>
      <c r="M20" s="175"/>
      <c r="N20" s="175"/>
      <c r="O20" s="175"/>
      <c r="P20" s="175"/>
      <c r="Q20" s="175"/>
      <c r="R20" s="175"/>
      <c r="S20" s="175"/>
      <c r="T20" s="176"/>
      <c r="U20" s="1"/>
      <c r="V20" s="2"/>
      <c r="W20" s="2"/>
      <c r="X20" s="2"/>
      <c r="Y20" s="6"/>
    </row>
    <row r="21" spans="1:25" ht="15.9" customHeight="1" thickBot="1" x14ac:dyDescent="0.65">
      <c r="A21" s="178">
        <v>16</v>
      </c>
      <c r="B21" s="29" t="s">
        <v>763</v>
      </c>
      <c r="C21" s="29" t="s">
        <v>24</v>
      </c>
      <c r="D21" s="29" t="s">
        <v>764</v>
      </c>
      <c r="E21" s="30" t="s">
        <v>345</v>
      </c>
      <c r="F21" s="184"/>
      <c r="G21" s="172"/>
      <c r="H21" s="172"/>
      <c r="I21" s="172"/>
      <c r="J21" s="172"/>
      <c r="K21" s="172"/>
      <c r="L21" s="172"/>
      <c r="M21" s="172"/>
      <c r="N21" s="172"/>
      <c r="O21" s="172"/>
      <c r="P21" s="172"/>
      <c r="Q21" s="172"/>
      <c r="R21" s="172"/>
      <c r="S21" s="172"/>
      <c r="T21" s="173"/>
      <c r="U21" s="4"/>
      <c r="V21" s="3"/>
      <c r="W21" s="3"/>
      <c r="X21" s="3"/>
      <c r="Y21" s="8"/>
    </row>
    <row r="22" spans="1:25" ht="15.9" customHeight="1" x14ac:dyDescent="0.6">
      <c r="A22" s="179">
        <v>17</v>
      </c>
      <c r="B22" s="28" t="s">
        <v>765</v>
      </c>
      <c r="C22" s="28" t="s">
        <v>24</v>
      </c>
      <c r="D22" s="28" t="s">
        <v>348</v>
      </c>
      <c r="E22" s="31" t="s">
        <v>349</v>
      </c>
      <c r="F22" s="18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174"/>
      <c r="U22" s="24"/>
      <c r="V22" s="12"/>
      <c r="W22" s="12"/>
      <c r="X22" s="12"/>
      <c r="Y22" s="13"/>
    </row>
    <row r="23" spans="1:25" ht="15.9" customHeight="1" x14ac:dyDescent="0.6">
      <c r="A23" s="179">
        <v>18</v>
      </c>
      <c r="B23" s="28" t="s">
        <v>766</v>
      </c>
      <c r="C23" s="28" t="s">
        <v>24</v>
      </c>
      <c r="D23" s="28" t="s">
        <v>354</v>
      </c>
      <c r="E23" s="31" t="s">
        <v>355</v>
      </c>
      <c r="F23" s="18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174"/>
      <c r="U23" s="1"/>
      <c r="V23" s="2"/>
      <c r="W23" s="2"/>
      <c r="X23" s="2"/>
      <c r="Y23" s="6"/>
    </row>
    <row r="24" spans="1:25" ht="15.9" customHeight="1" x14ac:dyDescent="0.6">
      <c r="A24" s="179">
        <v>19</v>
      </c>
      <c r="B24" s="28" t="s">
        <v>767</v>
      </c>
      <c r="C24" s="28" t="s">
        <v>24</v>
      </c>
      <c r="D24" s="28" t="s">
        <v>768</v>
      </c>
      <c r="E24" s="31" t="s">
        <v>39</v>
      </c>
      <c r="F24" s="18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174"/>
      <c r="U24" s="1"/>
      <c r="V24" s="2"/>
      <c r="W24" s="2"/>
      <c r="X24" s="2"/>
      <c r="Y24" s="6"/>
    </row>
    <row r="25" spans="1:25" ht="15.9" customHeight="1" thickBot="1" x14ac:dyDescent="0.65">
      <c r="A25" s="180">
        <v>20</v>
      </c>
      <c r="B25" s="20" t="s">
        <v>769</v>
      </c>
      <c r="C25" s="20" t="s">
        <v>24</v>
      </c>
      <c r="D25" s="20" t="s">
        <v>352</v>
      </c>
      <c r="E25" s="21" t="s">
        <v>353</v>
      </c>
      <c r="F25" s="186"/>
      <c r="G25" s="175"/>
      <c r="H25" s="175"/>
      <c r="I25" s="175"/>
      <c r="J25" s="175"/>
      <c r="K25" s="175"/>
      <c r="L25" s="175"/>
      <c r="M25" s="175"/>
      <c r="N25" s="175"/>
      <c r="O25" s="175"/>
      <c r="P25" s="175"/>
      <c r="Q25" s="175"/>
      <c r="R25" s="175"/>
      <c r="S25" s="175"/>
      <c r="T25" s="176"/>
      <c r="U25" s="1"/>
      <c r="V25" s="2"/>
      <c r="W25" s="2"/>
      <c r="X25" s="2"/>
      <c r="Y25" s="6"/>
    </row>
    <row r="26" spans="1:25" ht="15.9" customHeight="1" thickBot="1" x14ac:dyDescent="0.65">
      <c r="A26" s="178">
        <v>21</v>
      </c>
      <c r="B26" s="29" t="s">
        <v>887</v>
      </c>
      <c r="C26" s="29" t="s">
        <v>24</v>
      </c>
      <c r="D26" s="29" t="s">
        <v>535</v>
      </c>
      <c r="E26" s="30" t="s">
        <v>536</v>
      </c>
      <c r="F26" s="184"/>
      <c r="G26" s="172"/>
      <c r="H26" s="172"/>
      <c r="I26" s="172"/>
      <c r="J26" s="172"/>
      <c r="K26" s="172"/>
      <c r="L26" s="172"/>
      <c r="M26" s="172"/>
      <c r="N26" s="172"/>
      <c r="O26" s="172"/>
      <c r="P26" s="172"/>
      <c r="Q26" s="172"/>
      <c r="R26" s="172"/>
      <c r="S26" s="172"/>
      <c r="T26" s="173"/>
      <c r="U26" s="4"/>
      <c r="V26" s="3"/>
      <c r="W26" s="3"/>
      <c r="X26" s="3"/>
      <c r="Y26" s="8"/>
    </row>
    <row r="27" spans="1:25" ht="15.9" customHeight="1" x14ac:dyDescent="0.6">
      <c r="A27" s="179">
        <v>22</v>
      </c>
      <c r="B27" s="28" t="s">
        <v>771</v>
      </c>
      <c r="C27" s="28" t="s">
        <v>24</v>
      </c>
      <c r="D27" s="28" t="s">
        <v>350</v>
      </c>
      <c r="E27" s="31" t="s">
        <v>351</v>
      </c>
      <c r="F27" s="18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174"/>
      <c r="U27" s="24"/>
      <c r="V27" s="12"/>
      <c r="W27" s="12"/>
      <c r="X27" s="12"/>
      <c r="Y27" s="13"/>
    </row>
    <row r="28" spans="1:25" ht="15.9" customHeight="1" x14ac:dyDescent="0.6">
      <c r="A28" s="179">
        <v>23</v>
      </c>
      <c r="B28" s="28" t="s">
        <v>772</v>
      </c>
      <c r="C28" s="28" t="s">
        <v>24</v>
      </c>
      <c r="D28" s="28" t="s">
        <v>337</v>
      </c>
      <c r="E28" s="31" t="s">
        <v>338</v>
      </c>
      <c r="F28" s="18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174"/>
      <c r="U28" s="1"/>
      <c r="V28" s="2"/>
      <c r="W28" s="2"/>
      <c r="X28" s="2"/>
      <c r="Y28" s="6"/>
    </row>
    <row r="29" spans="1:25" ht="15.9" customHeight="1" x14ac:dyDescent="0.6">
      <c r="A29" s="179">
        <v>24</v>
      </c>
      <c r="B29" s="28" t="s">
        <v>773</v>
      </c>
      <c r="C29" s="28" t="s">
        <v>24</v>
      </c>
      <c r="D29" s="28" t="s">
        <v>346</v>
      </c>
      <c r="E29" s="31" t="s">
        <v>347</v>
      </c>
      <c r="F29" s="18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174"/>
      <c r="U29" s="1"/>
      <c r="V29" s="2"/>
      <c r="W29" s="2"/>
      <c r="X29" s="2"/>
      <c r="Y29" s="6"/>
    </row>
    <row r="30" spans="1:25" ht="15.9" customHeight="1" thickBot="1" x14ac:dyDescent="0.65">
      <c r="A30" s="180">
        <v>25</v>
      </c>
      <c r="B30" s="20" t="s">
        <v>774</v>
      </c>
      <c r="C30" s="20" t="s">
        <v>24</v>
      </c>
      <c r="D30" s="20" t="s">
        <v>339</v>
      </c>
      <c r="E30" s="21" t="s">
        <v>340</v>
      </c>
      <c r="F30" s="186"/>
      <c r="G30" s="175"/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175"/>
      <c r="T30" s="176"/>
      <c r="U30" s="1"/>
      <c r="V30" s="2"/>
      <c r="W30" s="2"/>
      <c r="X30" s="2"/>
      <c r="Y30" s="6"/>
    </row>
    <row r="31" spans="1:25" ht="15.9" customHeight="1" thickBot="1" x14ac:dyDescent="0.65">
      <c r="A31" s="178">
        <v>26</v>
      </c>
      <c r="B31" s="29" t="s">
        <v>775</v>
      </c>
      <c r="C31" s="29" t="s">
        <v>24</v>
      </c>
      <c r="D31" s="29" t="s">
        <v>776</v>
      </c>
      <c r="E31" s="30" t="s">
        <v>358</v>
      </c>
      <c r="F31" s="184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2"/>
      <c r="S31" s="172"/>
      <c r="T31" s="173"/>
      <c r="U31" s="4"/>
      <c r="V31" s="3"/>
      <c r="W31" s="3"/>
      <c r="X31" s="3"/>
      <c r="Y31" s="8"/>
    </row>
    <row r="32" spans="1:25" ht="15.9" customHeight="1" x14ac:dyDescent="0.6">
      <c r="A32" s="179">
        <v>27</v>
      </c>
      <c r="B32" s="28" t="s">
        <v>777</v>
      </c>
      <c r="C32" s="28" t="s">
        <v>24</v>
      </c>
      <c r="D32" s="28" t="s">
        <v>356</v>
      </c>
      <c r="E32" s="31" t="s">
        <v>357</v>
      </c>
      <c r="F32" s="18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174"/>
      <c r="U32" s="1"/>
      <c r="V32" s="2"/>
      <c r="W32" s="2"/>
      <c r="X32" s="2"/>
      <c r="Y32" s="6"/>
    </row>
    <row r="33" spans="1:25" ht="15.9" customHeight="1" x14ac:dyDescent="0.6">
      <c r="A33" s="179">
        <v>28</v>
      </c>
      <c r="B33" s="28" t="s">
        <v>778</v>
      </c>
      <c r="C33" s="28" t="s">
        <v>24</v>
      </c>
      <c r="D33" s="28" t="s">
        <v>365</v>
      </c>
      <c r="E33" s="31" t="s">
        <v>366</v>
      </c>
      <c r="F33" s="18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174"/>
      <c r="U33" s="1"/>
      <c r="V33" s="2"/>
      <c r="W33" s="2"/>
      <c r="X33" s="2"/>
      <c r="Y33" s="6"/>
    </row>
    <row r="34" spans="1:25" ht="15.9" customHeight="1" x14ac:dyDescent="0.6">
      <c r="A34" s="179">
        <v>29</v>
      </c>
      <c r="B34" s="28" t="s">
        <v>779</v>
      </c>
      <c r="C34" s="28" t="s">
        <v>24</v>
      </c>
      <c r="D34" s="28" t="s">
        <v>37</v>
      </c>
      <c r="E34" s="31" t="s">
        <v>364</v>
      </c>
      <c r="F34" s="18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174"/>
      <c r="U34" s="1"/>
      <c r="V34" s="2"/>
      <c r="W34" s="2"/>
      <c r="X34" s="2"/>
      <c r="Y34" s="6"/>
    </row>
    <row r="35" spans="1:25" ht="15.9" customHeight="1" thickBot="1" x14ac:dyDescent="0.65">
      <c r="A35" s="180">
        <v>30</v>
      </c>
      <c r="B35" s="20" t="s">
        <v>780</v>
      </c>
      <c r="C35" s="20" t="s">
        <v>24</v>
      </c>
      <c r="D35" s="20" t="s">
        <v>781</v>
      </c>
      <c r="E35" s="21" t="s">
        <v>359</v>
      </c>
      <c r="F35" s="186"/>
      <c r="G35" s="175"/>
      <c r="H35" s="175"/>
      <c r="I35" s="175"/>
      <c r="J35" s="175"/>
      <c r="K35" s="175"/>
      <c r="L35" s="175"/>
      <c r="M35" s="175"/>
      <c r="N35" s="175"/>
      <c r="O35" s="175"/>
      <c r="P35" s="175"/>
      <c r="Q35" s="175"/>
      <c r="R35" s="175"/>
      <c r="S35" s="175"/>
      <c r="T35" s="176"/>
      <c r="U35" s="4"/>
      <c r="V35" s="3"/>
      <c r="W35" s="3"/>
      <c r="X35" s="3"/>
      <c r="Y35" s="8"/>
    </row>
    <row r="36" spans="1:25" ht="15.9" customHeight="1" x14ac:dyDescent="0.6">
      <c r="A36" s="178">
        <v>31</v>
      </c>
      <c r="B36" s="29" t="s">
        <v>782</v>
      </c>
      <c r="C36" s="29" t="s">
        <v>24</v>
      </c>
      <c r="D36" s="29" t="s">
        <v>19</v>
      </c>
      <c r="E36" s="30" t="s">
        <v>232</v>
      </c>
      <c r="F36" s="192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213"/>
      <c r="U36" s="24"/>
      <c r="V36" s="12"/>
      <c r="W36" s="12"/>
      <c r="X36" s="12"/>
      <c r="Y36" s="13"/>
    </row>
    <row r="37" spans="1:25" ht="15.9" customHeight="1" x14ac:dyDescent="0.6">
      <c r="A37" s="179">
        <v>32</v>
      </c>
      <c r="B37" s="28" t="s">
        <v>783</v>
      </c>
      <c r="C37" s="28" t="s">
        <v>24</v>
      </c>
      <c r="D37" s="28" t="s">
        <v>360</v>
      </c>
      <c r="E37" s="31" t="s">
        <v>784</v>
      </c>
      <c r="F37" s="18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174"/>
      <c r="U37" s="1"/>
      <c r="V37" s="2"/>
      <c r="W37" s="2"/>
      <c r="X37" s="2"/>
      <c r="Y37" s="6"/>
    </row>
    <row r="38" spans="1:25" ht="15.9" customHeight="1" x14ac:dyDescent="0.6">
      <c r="A38" s="179">
        <v>33</v>
      </c>
      <c r="B38" s="28" t="s">
        <v>785</v>
      </c>
      <c r="C38" s="28" t="s">
        <v>24</v>
      </c>
      <c r="D38" s="28" t="s">
        <v>361</v>
      </c>
      <c r="E38" s="31" t="s">
        <v>362</v>
      </c>
      <c r="F38" s="18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174"/>
      <c r="U38" s="1"/>
      <c r="V38" s="2"/>
      <c r="W38" s="2"/>
      <c r="X38" s="2"/>
      <c r="Y38" s="6"/>
    </row>
    <row r="39" spans="1:25" ht="15.9" customHeight="1" x14ac:dyDescent="0.6">
      <c r="A39" s="179"/>
      <c r="B39" s="28"/>
      <c r="C39" s="32"/>
      <c r="D39" s="28"/>
      <c r="E39" s="31"/>
      <c r="F39" s="18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174"/>
      <c r="U39" s="1"/>
      <c r="V39" s="2"/>
      <c r="W39" s="2"/>
      <c r="X39" s="2"/>
      <c r="Y39" s="6"/>
    </row>
    <row r="40" spans="1:25" ht="15.9" customHeight="1" thickBot="1" x14ac:dyDescent="0.65">
      <c r="A40" s="180"/>
      <c r="B40" s="177"/>
      <c r="C40" s="195"/>
      <c r="D40" s="177"/>
      <c r="E40" s="190"/>
      <c r="F40" s="186"/>
      <c r="G40" s="175"/>
      <c r="H40" s="175"/>
      <c r="I40" s="175"/>
      <c r="J40" s="175"/>
      <c r="K40" s="175"/>
      <c r="L40" s="175"/>
      <c r="M40" s="175"/>
      <c r="N40" s="175"/>
      <c r="O40" s="175"/>
      <c r="P40" s="175"/>
      <c r="Q40" s="175"/>
      <c r="R40" s="175"/>
      <c r="S40" s="175"/>
      <c r="T40" s="176"/>
      <c r="U40" s="26"/>
      <c r="V40" s="27"/>
      <c r="W40" s="27"/>
      <c r="X40" s="27"/>
      <c r="Y40" s="23"/>
    </row>
    <row r="41" spans="1:25" ht="15.9" customHeight="1" x14ac:dyDescent="0.6">
      <c r="A41" s="76" t="s">
        <v>20</v>
      </c>
      <c r="B41" s="78">
        <f>SUM(COUNTIF(C6:C40,{"นาย","เด็กชาย"}))</f>
        <v>14</v>
      </c>
      <c r="C41" s="79" t="s">
        <v>21</v>
      </c>
      <c r="D41" s="78">
        <f>SUM(COUNTIF(C6:C40,{"นางสาว","เด็กหญิง"}))</f>
        <v>19</v>
      </c>
      <c r="E41" s="79" t="s">
        <v>22</v>
      </c>
      <c r="F41" s="76">
        <f>B41+D41</f>
        <v>33</v>
      </c>
      <c r="U41" s="15"/>
      <c r="V41" s="15"/>
      <c r="W41" s="15"/>
    </row>
  </sheetData>
  <sortState xmlns:xlrd2="http://schemas.microsoft.com/office/spreadsheetml/2017/richdata2" ref="C17:E18">
    <sortCondition ref="C17:C18"/>
    <sortCondition ref="D17:D18"/>
  </sortState>
  <mergeCells count="25">
    <mergeCell ref="A2:C2"/>
    <mergeCell ref="X4:X5"/>
    <mergeCell ref="S4:S5"/>
    <mergeCell ref="T4:T5"/>
    <mergeCell ref="U4:U5"/>
    <mergeCell ref="V4:V5"/>
    <mergeCell ref="W4:W5"/>
    <mergeCell ref="F2:T2"/>
    <mergeCell ref="F3:T3"/>
    <mergeCell ref="A1:Y1"/>
    <mergeCell ref="C4:E5"/>
    <mergeCell ref="F4:F5"/>
    <mergeCell ref="G4:G5"/>
    <mergeCell ref="H4:H5"/>
    <mergeCell ref="I4:I5"/>
    <mergeCell ref="J4:J5"/>
    <mergeCell ref="K4:K5"/>
    <mergeCell ref="L4:L5"/>
    <mergeCell ref="M4:M5"/>
    <mergeCell ref="Y4:Y5"/>
    <mergeCell ref="N4:N5"/>
    <mergeCell ref="O4:O5"/>
    <mergeCell ref="P4:P5"/>
    <mergeCell ref="Q4:Q5"/>
    <mergeCell ref="R4:R5"/>
  </mergeCells>
  <printOptions horizontalCentered="1"/>
  <pageMargins left="0.39370078740157483" right="0" top="0.39370078740157483" bottom="0" header="0.31496062992125984" footer="0.31496062992125984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41"/>
  <sheetViews>
    <sheetView workbookViewId="0">
      <selection activeCell="E39" sqref="A6:E39"/>
    </sheetView>
  </sheetViews>
  <sheetFormatPr defaultRowHeight="15.9" customHeight="1" x14ac:dyDescent="0.25"/>
  <cols>
    <col min="1" max="1" width="5" style="76" customWidth="1"/>
    <col min="2" max="2" width="6.3984375" style="76" customWidth="1"/>
    <col min="3" max="3" width="7.59765625" style="76" customWidth="1"/>
    <col min="4" max="4" width="11" style="76" customWidth="1"/>
    <col min="5" max="5" width="11.69921875" style="76" customWidth="1"/>
    <col min="6" max="20" width="2.69921875" style="76" customWidth="1"/>
    <col min="21" max="25" width="2.69921875" hidden="1" customWidth="1"/>
    <col min="26" max="26" width="0" hidden="1" customWidth="1"/>
  </cols>
  <sheetData>
    <row r="1" spans="1:25" s="68" customFormat="1" ht="15.9" customHeight="1" x14ac:dyDescent="0.25">
      <c r="A1" s="318" t="s">
        <v>1001</v>
      </c>
      <c r="B1" s="318"/>
      <c r="C1" s="318"/>
      <c r="D1" s="318"/>
      <c r="E1" s="318"/>
      <c r="F1" s="318"/>
      <c r="G1" s="318"/>
      <c r="H1" s="318"/>
      <c r="I1" s="318"/>
      <c r="J1" s="318"/>
      <c r="K1" s="318"/>
      <c r="L1" s="318"/>
      <c r="M1" s="318"/>
      <c r="N1" s="318"/>
      <c r="O1" s="318"/>
      <c r="P1" s="318"/>
      <c r="Q1" s="318"/>
      <c r="R1" s="318"/>
      <c r="S1" s="318"/>
      <c r="T1" s="318"/>
      <c r="U1" s="318"/>
      <c r="V1" s="318"/>
      <c r="W1" s="318"/>
      <c r="X1" s="318"/>
      <c r="Y1" s="318"/>
    </row>
    <row r="2" spans="1:25" s="68" customFormat="1" ht="19.5" customHeight="1" x14ac:dyDescent="0.25">
      <c r="A2" s="303" t="s">
        <v>5</v>
      </c>
      <c r="B2" s="303"/>
      <c r="C2" s="303"/>
      <c r="D2" s="82">
        <v>608</v>
      </c>
      <c r="E2" s="82" t="s">
        <v>6</v>
      </c>
      <c r="F2" s="304" t="s">
        <v>935</v>
      </c>
      <c r="G2" s="304"/>
      <c r="H2" s="304"/>
      <c r="I2" s="304"/>
      <c r="J2" s="304"/>
      <c r="K2" s="304"/>
      <c r="L2" s="304"/>
      <c r="M2" s="304"/>
      <c r="N2" s="304"/>
      <c r="O2" s="304"/>
      <c r="P2" s="83"/>
      <c r="Q2" s="83"/>
      <c r="R2" s="83"/>
      <c r="S2" s="83"/>
      <c r="T2" s="83"/>
      <c r="U2" s="69"/>
      <c r="V2" s="69"/>
      <c r="W2" s="69"/>
      <c r="X2" s="69"/>
      <c r="Y2" s="69"/>
    </row>
    <row r="3" spans="1:25" s="68" customFormat="1" ht="15.9" customHeight="1" thickBot="1" x14ac:dyDescent="0.3">
      <c r="A3" s="74"/>
      <c r="B3" s="83" t="s">
        <v>489</v>
      </c>
      <c r="C3" s="83"/>
      <c r="D3" s="83"/>
      <c r="E3" s="83"/>
      <c r="F3" s="304" t="s">
        <v>936</v>
      </c>
      <c r="G3" s="304"/>
      <c r="H3" s="304"/>
      <c r="I3" s="304"/>
      <c r="J3" s="304"/>
      <c r="K3" s="304"/>
      <c r="L3" s="304"/>
      <c r="M3" s="304"/>
      <c r="N3" s="304"/>
      <c r="O3" s="304"/>
      <c r="P3" s="83"/>
      <c r="Q3" s="83"/>
      <c r="R3" s="83"/>
      <c r="S3" s="83"/>
      <c r="T3" s="83"/>
      <c r="U3" s="156"/>
      <c r="V3" s="156"/>
      <c r="W3" s="156"/>
      <c r="X3" s="156"/>
      <c r="Y3" s="156"/>
    </row>
    <row r="4" spans="1:25" ht="15.9" customHeight="1" x14ac:dyDescent="0.25">
      <c r="A4" s="284" t="s">
        <v>1</v>
      </c>
      <c r="B4" s="285" t="s">
        <v>2</v>
      </c>
      <c r="C4" s="330" t="s">
        <v>3</v>
      </c>
      <c r="D4" s="330"/>
      <c r="E4" s="331"/>
      <c r="F4" s="334"/>
      <c r="G4" s="330"/>
      <c r="H4" s="330"/>
      <c r="I4" s="330"/>
      <c r="J4" s="330"/>
      <c r="K4" s="330"/>
      <c r="L4" s="330"/>
      <c r="M4" s="330"/>
      <c r="N4" s="330"/>
      <c r="O4" s="330"/>
      <c r="P4" s="330"/>
      <c r="Q4" s="330"/>
      <c r="R4" s="330"/>
      <c r="S4" s="330"/>
      <c r="T4" s="331"/>
      <c r="U4" s="325"/>
      <c r="V4" s="323"/>
      <c r="W4" s="323"/>
      <c r="X4" s="323"/>
      <c r="Y4" s="321"/>
    </row>
    <row r="5" spans="1:25" ht="15.9" customHeight="1" thickBot="1" x14ac:dyDescent="0.3">
      <c r="A5" s="286" t="s">
        <v>0</v>
      </c>
      <c r="B5" s="287" t="s">
        <v>4</v>
      </c>
      <c r="C5" s="332"/>
      <c r="D5" s="332"/>
      <c r="E5" s="333"/>
      <c r="F5" s="335"/>
      <c r="G5" s="332"/>
      <c r="H5" s="332"/>
      <c r="I5" s="332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3"/>
      <c r="U5" s="329"/>
      <c r="V5" s="328"/>
      <c r="W5" s="328"/>
      <c r="X5" s="328"/>
      <c r="Y5" s="327"/>
    </row>
    <row r="6" spans="1:25" ht="15.9" customHeight="1" x14ac:dyDescent="0.6">
      <c r="A6" s="178">
        <v>1</v>
      </c>
      <c r="B6" s="29" t="s">
        <v>944</v>
      </c>
      <c r="C6" s="29" t="s">
        <v>23</v>
      </c>
      <c r="D6" s="29" t="s">
        <v>945</v>
      </c>
      <c r="E6" s="30" t="s">
        <v>946</v>
      </c>
      <c r="F6" s="184"/>
      <c r="G6" s="172"/>
      <c r="H6" s="172"/>
      <c r="I6" s="172"/>
      <c r="J6" s="172"/>
      <c r="K6" s="172"/>
      <c r="L6" s="172"/>
      <c r="M6" s="172"/>
      <c r="N6" s="172"/>
      <c r="O6" s="172"/>
      <c r="P6" s="172"/>
      <c r="Q6" s="172"/>
      <c r="R6" s="172"/>
      <c r="S6" s="172"/>
      <c r="T6" s="173"/>
      <c r="U6" s="24"/>
      <c r="V6" s="12"/>
      <c r="W6" s="12"/>
      <c r="X6" s="12"/>
      <c r="Y6" s="13"/>
    </row>
    <row r="7" spans="1:25" ht="15.9" customHeight="1" x14ac:dyDescent="0.6">
      <c r="A7" s="179">
        <v>2</v>
      </c>
      <c r="B7" s="28" t="s">
        <v>786</v>
      </c>
      <c r="C7" s="28" t="s">
        <v>23</v>
      </c>
      <c r="D7" s="28" t="s">
        <v>787</v>
      </c>
      <c r="E7" s="31" t="s">
        <v>367</v>
      </c>
      <c r="F7" s="185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174"/>
      <c r="U7" s="1"/>
      <c r="V7" s="2"/>
      <c r="W7" s="2"/>
      <c r="X7" s="2"/>
      <c r="Y7" s="6"/>
    </row>
    <row r="8" spans="1:25" ht="15.9" customHeight="1" x14ac:dyDescent="0.6">
      <c r="A8" s="179">
        <v>3</v>
      </c>
      <c r="B8" s="28" t="s">
        <v>788</v>
      </c>
      <c r="C8" s="28" t="s">
        <v>23</v>
      </c>
      <c r="D8" s="28" t="s">
        <v>789</v>
      </c>
      <c r="E8" s="31" t="s">
        <v>369</v>
      </c>
      <c r="F8" s="18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174"/>
      <c r="U8" s="1"/>
      <c r="V8" s="2"/>
      <c r="W8" s="2"/>
      <c r="X8" s="2"/>
      <c r="Y8" s="6"/>
    </row>
    <row r="9" spans="1:25" ht="15.9" customHeight="1" x14ac:dyDescent="0.6">
      <c r="A9" s="179">
        <v>4</v>
      </c>
      <c r="B9" s="28" t="s">
        <v>790</v>
      </c>
      <c r="C9" s="28" t="s">
        <v>23</v>
      </c>
      <c r="D9" s="28" t="s">
        <v>56</v>
      </c>
      <c r="E9" s="31" t="s">
        <v>368</v>
      </c>
      <c r="F9" s="185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174"/>
      <c r="U9" s="1"/>
      <c r="V9" s="2"/>
      <c r="W9" s="2"/>
      <c r="X9" s="2"/>
      <c r="Y9" s="6"/>
    </row>
    <row r="10" spans="1:25" ht="15.9" customHeight="1" thickBot="1" x14ac:dyDescent="0.65">
      <c r="A10" s="180">
        <v>5</v>
      </c>
      <c r="B10" s="20" t="s">
        <v>791</v>
      </c>
      <c r="C10" s="20" t="s">
        <v>23</v>
      </c>
      <c r="D10" s="20" t="s">
        <v>375</v>
      </c>
      <c r="E10" s="21" t="s">
        <v>376</v>
      </c>
      <c r="F10" s="186"/>
      <c r="G10" s="175"/>
      <c r="H10" s="175"/>
      <c r="I10" s="175"/>
      <c r="J10" s="175"/>
      <c r="K10" s="175"/>
      <c r="L10" s="175"/>
      <c r="M10" s="175"/>
      <c r="N10" s="175"/>
      <c r="O10" s="175"/>
      <c r="P10" s="175"/>
      <c r="Q10" s="175"/>
      <c r="R10" s="175"/>
      <c r="S10" s="175"/>
      <c r="T10" s="176"/>
      <c r="U10" s="4"/>
      <c r="V10" s="3"/>
      <c r="W10" s="3"/>
      <c r="X10" s="3"/>
      <c r="Y10" s="8"/>
    </row>
    <row r="11" spans="1:25" ht="15.9" customHeight="1" x14ac:dyDescent="0.6">
      <c r="A11" s="178">
        <v>6</v>
      </c>
      <c r="B11" s="29" t="s">
        <v>792</v>
      </c>
      <c r="C11" s="29" t="s">
        <v>23</v>
      </c>
      <c r="D11" s="29" t="s">
        <v>33</v>
      </c>
      <c r="E11" s="30" t="s">
        <v>374</v>
      </c>
      <c r="F11" s="184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3"/>
      <c r="U11" s="9"/>
      <c r="V11" s="10"/>
      <c r="W11" s="10"/>
      <c r="X11" s="10"/>
      <c r="Y11" s="14"/>
    </row>
    <row r="12" spans="1:25" ht="15.9" customHeight="1" x14ac:dyDescent="0.6">
      <c r="A12" s="179">
        <v>7</v>
      </c>
      <c r="B12" s="28" t="s">
        <v>793</v>
      </c>
      <c r="C12" s="28" t="s">
        <v>23</v>
      </c>
      <c r="D12" s="28" t="s">
        <v>372</v>
      </c>
      <c r="E12" s="31" t="s">
        <v>373</v>
      </c>
      <c r="F12" s="185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174"/>
      <c r="U12" s="1"/>
      <c r="V12" s="2"/>
      <c r="W12" s="2"/>
      <c r="X12" s="2"/>
      <c r="Y12" s="6"/>
    </row>
    <row r="13" spans="1:25" ht="15.9" customHeight="1" x14ac:dyDescent="0.6">
      <c r="A13" s="179">
        <v>8</v>
      </c>
      <c r="B13" s="28" t="s">
        <v>794</v>
      </c>
      <c r="C13" s="28" t="s">
        <v>23</v>
      </c>
      <c r="D13" s="28" t="s">
        <v>46</v>
      </c>
      <c r="E13" s="31" t="s">
        <v>370</v>
      </c>
      <c r="F13" s="18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1"/>
      <c r="R13" s="75"/>
      <c r="S13" s="75"/>
      <c r="T13" s="174"/>
      <c r="U13" s="1"/>
      <c r="V13" s="2"/>
      <c r="W13" s="2"/>
      <c r="X13" s="2"/>
      <c r="Y13" s="6"/>
    </row>
    <row r="14" spans="1:25" ht="15.9" customHeight="1" x14ac:dyDescent="0.6">
      <c r="A14" s="179">
        <v>9</v>
      </c>
      <c r="B14" s="28" t="s">
        <v>947</v>
      </c>
      <c r="C14" s="28" t="s">
        <v>23</v>
      </c>
      <c r="D14" s="28" t="s">
        <v>948</v>
      </c>
      <c r="E14" s="31" t="s">
        <v>949</v>
      </c>
      <c r="F14" s="18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174"/>
      <c r="U14" s="1"/>
      <c r="V14" s="2"/>
      <c r="W14" s="2"/>
      <c r="X14" s="2"/>
      <c r="Y14" s="6"/>
    </row>
    <row r="15" spans="1:25" ht="15.9" customHeight="1" thickBot="1" x14ac:dyDescent="0.65">
      <c r="A15" s="180">
        <v>10</v>
      </c>
      <c r="B15" s="20" t="s">
        <v>950</v>
      </c>
      <c r="C15" s="20" t="s">
        <v>23</v>
      </c>
      <c r="D15" s="20" t="s">
        <v>951</v>
      </c>
      <c r="E15" s="21" t="s">
        <v>952</v>
      </c>
      <c r="F15" s="186"/>
      <c r="G15" s="175"/>
      <c r="H15" s="175"/>
      <c r="I15" s="175"/>
      <c r="J15" s="175"/>
      <c r="K15" s="175"/>
      <c r="L15" s="175"/>
      <c r="M15" s="175"/>
      <c r="N15" s="175"/>
      <c r="O15" s="175"/>
      <c r="P15" s="175"/>
      <c r="Q15" s="175"/>
      <c r="R15" s="175"/>
      <c r="S15" s="175"/>
      <c r="T15" s="176"/>
      <c r="U15" s="4"/>
      <c r="V15" s="3"/>
      <c r="W15" s="3"/>
      <c r="X15" s="3"/>
      <c r="Y15" s="8"/>
    </row>
    <row r="16" spans="1:25" ht="15.9" customHeight="1" x14ac:dyDescent="0.6">
      <c r="A16" s="178">
        <v>11</v>
      </c>
      <c r="B16" s="29" t="s">
        <v>795</v>
      </c>
      <c r="C16" s="29" t="s">
        <v>23</v>
      </c>
      <c r="D16" s="29" t="s">
        <v>52</v>
      </c>
      <c r="E16" s="30" t="s">
        <v>371</v>
      </c>
      <c r="F16" s="184"/>
      <c r="G16" s="172"/>
      <c r="H16" s="172"/>
      <c r="I16" s="172"/>
      <c r="J16" s="172"/>
      <c r="K16" s="172"/>
      <c r="L16" s="172"/>
      <c r="M16" s="172"/>
      <c r="N16" s="172"/>
      <c r="O16" s="172"/>
      <c r="P16" s="172"/>
      <c r="Q16" s="172"/>
      <c r="R16" s="172"/>
      <c r="S16" s="172"/>
      <c r="T16" s="173"/>
      <c r="U16" s="9"/>
      <c r="V16" s="10"/>
      <c r="W16" s="10"/>
      <c r="X16" s="10"/>
      <c r="Y16" s="14"/>
    </row>
    <row r="17" spans="1:25" ht="15.9" customHeight="1" x14ac:dyDescent="0.6">
      <c r="A17" s="179">
        <v>12</v>
      </c>
      <c r="B17" s="28" t="s">
        <v>796</v>
      </c>
      <c r="C17" s="28" t="s">
        <v>23</v>
      </c>
      <c r="D17" s="28" t="s">
        <v>382</v>
      </c>
      <c r="E17" s="31" t="s">
        <v>383</v>
      </c>
      <c r="F17" s="18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174"/>
      <c r="U17" s="1"/>
      <c r="V17" s="2"/>
      <c r="W17" s="2"/>
      <c r="X17" s="2"/>
      <c r="Y17" s="6"/>
    </row>
    <row r="18" spans="1:25" ht="15.9" customHeight="1" x14ac:dyDescent="0.6">
      <c r="A18" s="179">
        <v>13</v>
      </c>
      <c r="B18" s="28" t="s">
        <v>797</v>
      </c>
      <c r="C18" s="28" t="s">
        <v>23</v>
      </c>
      <c r="D18" s="28" t="s">
        <v>798</v>
      </c>
      <c r="E18" s="31" t="s">
        <v>391</v>
      </c>
      <c r="F18" s="18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174"/>
      <c r="U18" s="1"/>
      <c r="V18" s="2"/>
      <c r="W18" s="2"/>
      <c r="X18" s="2"/>
      <c r="Y18" s="6"/>
    </row>
    <row r="19" spans="1:25" ht="15.9" customHeight="1" x14ac:dyDescent="0.6">
      <c r="A19" s="179">
        <v>14</v>
      </c>
      <c r="B19" s="28" t="s">
        <v>799</v>
      </c>
      <c r="C19" s="28" t="s">
        <v>23</v>
      </c>
      <c r="D19" s="28" t="s">
        <v>380</v>
      </c>
      <c r="E19" s="31" t="s">
        <v>381</v>
      </c>
      <c r="F19" s="18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174"/>
      <c r="U19" s="1"/>
      <c r="V19" s="2"/>
      <c r="W19" s="2"/>
      <c r="X19" s="2"/>
      <c r="Y19" s="6"/>
    </row>
    <row r="20" spans="1:25" ht="15.9" customHeight="1" thickBot="1" x14ac:dyDescent="0.65">
      <c r="A20" s="180">
        <v>15</v>
      </c>
      <c r="B20" s="20" t="s">
        <v>800</v>
      </c>
      <c r="C20" s="20" t="s">
        <v>23</v>
      </c>
      <c r="D20" s="20" t="s">
        <v>378</v>
      </c>
      <c r="E20" s="21" t="s">
        <v>379</v>
      </c>
      <c r="F20" s="186"/>
      <c r="G20" s="175"/>
      <c r="H20" s="175"/>
      <c r="I20" s="175"/>
      <c r="J20" s="175"/>
      <c r="K20" s="175"/>
      <c r="L20" s="175"/>
      <c r="M20" s="175"/>
      <c r="N20" s="175"/>
      <c r="O20" s="175"/>
      <c r="P20" s="175"/>
      <c r="Q20" s="175"/>
      <c r="R20" s="175"/>
      <c r="S20" s="175"/>
      <c r="T20" s="176"/>
      <c r="U20" s="4"/>
      <c r="V20" s="3"/>
      <c r="W20" s="3"/>
      <c r="X20" s="3"/>
      <c r="Y20" s="8"/>
    </row>
    <row r="21" spans="1:25" ht="15.9" customHeight="1" x14ac:dyDescent="0.6">
      <c r="A21" s="178">
        <v>16</v>
      </c>
      <c r="B21" s="29" t="s">
        <v>801</v>
      </c>
      <c r="C21" s="29" t="s">
        <v>23</v>
      </c>
      <c r="D21" s="29" t="s">
        <v>802</v>
      </c>
      <c r="E21" s="30" t="s">
        <v>803</v>
      </c>
      <c r="F21" s="184"/>
      <c r="G21" s="172"/>
      <c r="H21" s="172"/>
      <c r="I21" s="172"/>
      <c r="J21" s="172"/>
      <c r="K21" s="172"/>
      <c r="L21" s="172"/>
      <c r="M21" s="172"/>
      <c r="N21" s="172"/>
      <c r="O21" s="172"/>
      <c r="P21" s="172"/>
      <c r="Q21" s="172"/>
      <c r="R21" s="172"/>
      <c r="S21" s="172"/>
      <c r="T21" s="173"/>
      <c r="U21" s="24"/>
      <c r="V21" s="12"/>
      <c r="W21" s="12"/>
      <c r="X21" s="12"/>
      <c r="Y21" s="13"/>
    </row>
    <row r="22" spans="1:25" ht="15.9" customHeight="1" x14ac:dyDescent="0.6">
      <c r="A22" s="179">
        <v>17</v>
      </c>
      <c r="B22" s="28" t="s">
        <v>804</v>
      </c>
      <c r="C22" s="28" t="s">
        <v>23</v>
      </c>
      <c r="D22" s="28" t="s">
        <v>30</v>
      </c>
      <c r="E22" s="31" t="s">
        <v>384</v>
      </c>
      <c r="F22" s="18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174"/>
      <c r="U22" s="1"/>
      <c r="V22" s="2"/>
      <c r="W22" s="2"/>
      <c r="X22" s="2"/>
      <c r="Y22" s="6"/>
    </row>
    <row r="23" spans="1:25" ht="15.9" customHeight="1" x14ac:dyDescent="0.6">
      <c r="A23" s="179">
        <v>18</v>
      </c>
      <c r="B23" s="28" t="s">
        <v>805</v>
      </c>
      <c r="C23" s="28" t="s">
        <v>23</v>
      </c>
      <c r="D23" s="28" t="s">
        <v>806</v>
      </c>
      <c r="E23" s="31" t="s">
        <v>807</v>
      </c>
      <c r="F23" s="18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174"/>
      <c r="U23" s="1"/>
      <c r="V23" s="2"/>
      <c r="W23" s="2"/>
      <c r="X23" s="2"/>
      <c r="Y23" s="6"/>
    </row>
    <row r="24" spans="1:25" ht="15.9" customHeight="1" x14ac:dyDescent="0.6">
      <c r="A24" s="179">
        <v>19</v>
      </c>
      <c r="B24" s="28" t="s">
        <v>808</v>
      </c>
      <c r="C24" s="28" t="s">
        <v>23</v>
      </c>
      <c r="D24" s="28" t="s">
        <v>377</v>
      </c>
      <c r="E24" s="31" t="s">
        <v>40</v>
      </c>
      <c r="F24" s="18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174"/>
      <c r="U24" s="1"/>
      <c r="V24" s="2"/>
      <c r="W24" s="2"/>
      <c r="X24" s="2"/>
      <c r="Y24" s="6"/>
    </row>
    <row r="25" spans="1:25" ht="15.9" customHeight="1" thickBot="1" x14ac:dyDescent="0.65">
      <c r="A25" s="180">
        <v>20</v>
      </c>
      <c r="B25" s="20" t="s">
        <v>809</v>
      </c>
      <c r="C25" s="20" t="s">
        <v>23</v>
      </c>
      <c r="D25" s="20" t="s">
        <v>387</v>
      </c>
      <c r="E25" s="21" t="s">
        <v>388</v>
      </c>
      <c r="F25" s="186"/>
      <c r="G25" s="175"/>
      <c r="H25" s="175"/>
      <c r="I25" s="175"/>
      <c r="J25" s="175"/>
      <c r="K25" s="175"/>
      <c r="L25" s="175"/>
      <c r="M25" s="175"/>
      <c r="N25" s="175"/>
      <c r="O25" s="175"/>
      <c r="P25" s="175"/>
      <c r="Q25" s="175"/>
      <c r="R25" s="175"/>
      <c r="S25" s="175"/>
      <c r="T25" s="176"/>
      <c r="U25" s="4"/>
      <c r="V25" s="3"/>
      <c r="W25" s="3"/>
      <c r="X25" s="3"/>
      <c r="Y25" s="8"/>
    </row>
    <row r="26" spans="1:25" ht="15.9" customHeight="1" x14ac:dyDescent="0.6">
      <c r="A26" s="178">
        <v>21</v>
      </c>
      <c r="B26" s="29" t="s">
        <v>810</v>
      </c>
      <c r="C26" s="29" t="s">
        <v>23</v>
      </c>
      <c r="D26" s="29" t="s">
        <v>385</v>
      </c>
      <c r="E26" s="30" t="s">
        <v>386</v>
      </c>
      <c r="F26" s="184"/>
      <c r="G26" s="172"/>
      <c r="H26" s="172"/>
      <c r="I26" s="172"/>
      <c r="J26" s="172"/>
      <c r="K26" s="172"/>
      <c r="L26" s="172"/>
      <c r="M26" s="172"/>
      <c r="N26" s="172"/>
      <c r="O26" s="172"/>
      <c r="P26" s="172"/>
      <c r="Q26" s="172"/>
      <c r="R26" s="172"/>
      <c r="S26" s="172"/>
      <c r="T26" s="173"/>
      <c r="U26" s="24"/>
      <c r="V26" s="12"/>
      <c r="W26" s="12"/>
      <c r="X26" s="12"/>
      <c r="Y26" s="13"/>
    </row>
    <row r="27" spans="1:25" ht="15.9" customHeight="1" x14ac:dyDescent="0.6">
      <c r="A27" s="179">
        <v>22</v>
      </c>
      <c r="B27" s="28" t="s">
        <v>811</v>
      </c>
      <c r="C27" s="28" t="s">
        <v>23</v>
      </c>
      <c r="D27" s="28" t="s">
        <v>389</v>
      </c>
      <c r="E27" s="31" t="s">
        <v>390</v>
      </c>
      <c r="F27" s="18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174"/>
      <c r="U27" s="1"/>
      <c r="V27" s="2"/>
      <c r="W27" s="2"/>
      <c r="X27" s="2"/>
      <c r="Y27" s="6"/>
    </row>
    <row r="28" spans="1:25" ht="15.9" customHeight="1" x14ac:dyDescent="0.6">
      <c r="A28" s="179">
        <v>23</v>
      </c>
      <c r="B28" s="28" t="s">
        <v>812</v>
      </c>
      <c r="C28" s="28" t="s">
        <v>23</v>
      </c>
      <c r="D28" s="28" t="s">
        <v>813</v>
      </c>
      <c r="E28" s="31" t="s">
        <v>311</v>
      </c>
      <c r="F28" s="18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174"/>
      <c r="U28" s="1"/>
      <c r="V28" s="2"/>
      <c r="W28" s="2"/>
      <c r="X28" s="2"/>
      <c r="Y28" s="6"/>
    </row>
    <row r="29" spans="1:25" ht="15.9" customHeight="1" x14ac:dyDescent="0.6">
      <c r="A29" s="179">
        <v>24</v>
      </c>
      <c r="B29" s="28" t="s">
        <v>985</v>
      </c>
      <c r="C29" s="28" t="s">
        <v>23</v>
      </c>
      <c r="D29" s="28" t="s">
        <v>986</v>
      </c>
      <c r="E29" s="31" t="s">
        <v>987</v>
      </c>
      <c r="F29" s="18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174"/>
      <c r="U29" s="1"/>
      <c r="V29" s="2"/>
      <c r="W29" s="2"/>
      <c r="X29" s="2"/>
      <c r="Y29" s="6"/>
    </row>
    <row r="30" spans="1:25" ht="15.9" customHeight="1" thickBot="1" x14ac:dyDescent="0.65">
      <c r="A30" s="180">
        <v>25</v>
      </c>
      <c r="B30" s="20" t="s">
        <v>814</v>
      </c>
      <c r="C30" s="20" t="s">
        <v>24</v>
      </c>
      <c r="D30" s="20" t="s">
        <v>394</v>
      </c>
      <c r="E30" s="21" t="s">
        <v>276</v>
      </c>
      <c r="F30" s="186"/>
      <c r="G30" s="175"/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175"/>
      <c r="T30" s="176"/>
      <c r="U30" s="4"/>
      <c r="V30" s="3"/>
      <c r="W30" s="3"/>
      <c r="X30" s="3"/>
      <c r="Y30" s="8"/>
    </row>
    <row r="31" spans="1:25" ht="15.9" customHeight="1" x14ac:dyDescent="0.6">
      <c r="A31" s="178">
        <v>26</v>
      </c>
      <c r="B31" s="29" t="s">
        <v>815</v>
      </c>
      <c r="C31" s="29" t="s">
        <v>24</v>
      </c>
      <c r="D31" s="29" t="s">
        <v>395</v>
      </c>
      <c r="E31" s="30" t="s">
        <v>396</v>
      </c>
      <c r="F31" s="184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2"/>
      <c r="S31" s="172"/>
      <c r="T31" s="173"/>
      <c r="U31" s="24"/>
      <c r="V31" s="12"/>
      <c r="W31" s="12"/>
      <c r="X31" s="12"/>
      <c r="Y31" s="13"/>
    </row>
    <row r="32" spans="1:25" ht="15.9" customHeight="1" x14ac:dyDescent="0.6">
      <c r="A32" s="179">
        <v>27</v>
      </c>
      <c r="B32" s="28" t="s">
        <v>816</v>
      </c>
      <c r="C32" s="28" t="s">
        <v>24</v>
      </c>
      <c r="D32" s="28" t="s">
        <v>397</v>
      </c>
      <c r="E32" s="31" t="s">
        <v>398</v>
      </c>
      <c r="F32" s="18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174"/>
      <c r="U32" s="1"/>
      <c r="V32" s="2"/>
      <c r="W32" s="2"/>
      <c r="X32" s="2"/>
      <c r="Y32" s="6"/>
    </row>
    <row r="33" spans="1:25" ht="15.9" customHeight="1" x14ac:dyDescent="0.6">
      <c r="A33" s="179">
        <v>28</v>
      </c>
      <c r="B33" s="28" t="s">
        <v>817</v>
      </c>
      <c r="C33" s="28" t="s">
        <v>24</v>
      </c>
      <c r="D33" s="28" t="s">
        <v>392</v>
      </c>
      <c r="E33" s="31" t="s">
        <v>393</v>
      </c>
      <c r="F33" s="18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174"/>
      <c r="U33" s="1"/>
      <c r="V33" s="2"/>
      <c r="W33" s="2"/>
      <c r="X33" s="2"/>
      <c r="Y33" s="6"/>
    </row>
    <row r="34" spans="1:25" ht="15.9" customHeight="1" x14ac:dyDescent="0.6">
      <c r="A34" s="179">
        <v>29</v>
      </c>
      <c r="B34" s="28" t="s">
        <v>818</v>
      </c>
      <c r="C34" s="28" t="s">
        <v>24</v>
      </c>
      <c r="D34" s="28" t="s">
        <v>819</v>
      </c>
      <c r="E34" s="31" t="s">
        <v>402</v>
      </c>
      <c r="F34" s="18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174"/>
      <c r="U34" s="1"/>
      <c r="V34" s="2"/>
      <c r="W34" s="2"/>
      <c r="X34" s="2"/>
      <c r="Y34" s="6"/>
    </row>
    <row r="35" spans="1:25" ht="15.9" customHeight="1" thickBot="1" x14ac:dyDescent="0.3">
      <c r="A35" s="180">
        <v>30</v>
      </c>
      <c r="B35" s="20" t="s">
        <v>820</v>
      </c>
      <c r="C35" s="20" t="s">
        <v>24</v>
      </c>
      <c r="D35" s="20" t="s">
        <v>400</v>
      </c>
      <c r="E35" s="21" t="s">
        <v>401</v>
      </c>
      <c r="F35" s="195"/>
      <c r="G35" s="177"/>
      <c r="H35" s="177"/>
      <c r="I35" s="177"/>
      <c r="J35" s="177"/>
      <c r="K35" s="177"/>
      <c r="L35" s="177"/>
      <c r="M35" s="177"/>
      <c r="N35" s="177"/>
      <c r="O35" s="177"/>
      <c r="P35" s="177"/>
      <c r="Q35" s="177"/>
      <c r="R35" s="177"/>
      <c r="S35" s="177"/>
      <c r="T35" s="190"/>
      <c r="U35" s="35"/>
      <c r="V35" s="36"/>
      <c r="W35" s="36"/>
      <c r="X35" s="36"/>
      <c r="Y35" s="37"/>
    </row>
    <row r="36" spans="1:25" ht="15.9" customHeight="1" x14ac:dyDescent="0.25">
      <c r="A36" s="178">
        <v>31</v>
      </c>
      <c r="B36" s="29" t="s">
        <v>821</v>
      </c>
      <c r="C36" s="29" t="s">
        <v>24</v>
      </c>
      <c r="D36" s="29" t="s">
        <v>36</v>
      </c>
      <c r="E36" s="30" t="s">
        <v>399</v>
      </c>
      <c r="F36" s="216"/>
      <c r="G36" s="169"/>
      <c r="H36" s="169"/>
      <c r="I36" s="169"/>
      <c r="J36" s="169"/>
      <c r="K36" s="169"/>
      <c r="L36" s="169"/>
      <c r="M36" s="169"/>
      <c r="N36" s="169"/>
      <c r="O36" s="169"/>
      <c r="P36" s="169"/>
      <c r="Q36" s="169"/>
      <c r="R36" s="169"/>
      <c r="S36" s="169"/>
      <c r="T36" s="191"/>
      <c r="U36" s="39"/>
      <c r="V36" s="29"/>
      <c r="W36" s="29"/>
      <c r="X36" s="29"/>
      <c r="Y36" s="30"/>
    </row>
    <row r="37" spans="1:25" ht="15.9" customHeight="1" x14ac:dyDescent="0.25">
      <c r="A37" s="179">
        <v>32</v>
      </c>
      <c r="B37" s="28" t="s">
        <v>822</v>
      </c>
      <c r="C37" s="28" t="s">
        <v>24</v>
      </c>
      <c r="D37" s="28" t="s">
        <v>405</v>
      </c>
      <c r="E37" s="31" t="s">
        <v>406</v>
      </c>
      <c r="F37" s="194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189"/>
      <c r="U37" s="32"/>
      <c r="V37" s="28"/>
      <c r="W37" s="28"/>
      <c r="X37" s="28"/>
      <c r="Y37" s="31"/>
    </row>
    <row r="38" spans="1:25" ht="15.9" customHeight="1" x14ac:dyDescent="0.25">
      <c r="A38" s="179">
        <v>33</v>
      </c>
      <c r="B38" s="28" t="s">
        <v>823</v>
      </c>
      <c r="C38" s="28" t="s">
        <v>24</v>
      </c>
      <c r="D38" s="28" t="s">
        <v>403</v>
      </c>
      <c r="E38" s="31" t="s">
        <v>404</v>
      </c>
      <c r="F38" s="194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189"/>
      <c r="U38" s="32"/>
      <c r="V38" s="28"/>
      <c r="W38" s="28"/>
      <c r="X38" s="28"/>
      <c r="Y38" s="31"/>
    </row>
    <row r="39" spans="1:25" ht="15.9" customHeight="1" x14ac:dyDescent="0.25">
      <c r="A39" s="179">
        <v>34</v>
      </c>
      <c r="B39" s="36" t="s">
        <v>824</v>
      </c>
      <c r="C39" s="36" t="s">
        <v>24</v>
      </c>
      <c r="D39" s="28" t="s">
        <v>407</v>
      </c>
      <c r="E39" s="31" t="s">
        <v>408</v>
      </c>
      <c r="F39" s="194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189"/>
      <c r="U39" s="32"/>
      <c r="V39" s="28"/>
      <c r="W39" s="28"/>
      <c r="X39" s="28"/>
      <c r="Y39" s="31"/>
    </row>
    <row r="40" spans="1:25" ht="15.9" customHeight="1" thickBot="1" x14ac:dyDescent="0.3">
      <c r="A40" s="180"/>
      <c r="B40" s="20"/>
      <c r="C40" s="20"/>
      <c r="D40" s="20"/>
      <c r="E40" s="21"/>
      <c r="F40" s="195"/>
      <c r="G40" s="177"/>
      <c r="H40" s="177"/>
      <c r="I40" s="177"/>
      <c r="J40" s="177"/>
      <c r="K40" s="177"/>
      <c r="L40" s="177"/>
      <c r="M40" s="177"/>
      <c r="N40" s="177"/>
      <c r="O40" s="177"/>
      <c r="P40" s="177"/>
      <c r="Q40" s="177"/>
      <c r="R40" s="177"/>
      <c r="S40" s="177"/>
      <c r="T40" s="190"/>
      <c r="U40" s="32"/>
      <c r="V40" s="28"/>
      <c r="W40" s="28"/>
      <c r="X40" s="28"/>
      <c r="Y40" s="31"/>
    </row>
    <row r="41" spans="1:25" ht="15.9" customHeight="1" x14ac:dyDescent="0.6">
      <c r="A41" s="77" t="s">
        <v>20</v>
      </c>
      <c r="B41" s="78">
        <f>SUM(COUNTIF(C6:C40,{"นาย","เด็กชาย"}))</f>
        <v>24</v>
      </c>
      <c r="C41" s="79" t="s">
        <v>21</v>
      </c>
      <c r="D41" s="78">
        <f>SUM(COUNTIF(C6:C40,{"นางสาว","เด็กหญิง"}))</f>
        <v>10</v>
      </c>
      <c r="E41" s="79" t="s">
        <v>22</v>
      </c>
      <c r="F41" s="76">
        <f>B41+D41</f>
        <v>34</v>
      </c>
      <c r="U41" s="15"/>
      <c r="V41" s="15"/>
      <c r="W41" s="15"/>
    </row>
  </sheetData>
  <sortState xmlns:xlrd2="http://schemas.microsoft.com/office/spreadsheetml/2017/richdata2" ref="C19:E29">
    <sortCondition ref="C19:C29"/>
    <sortCondition ref="D19:D29"/>
    <sortCondition ref="E19:E29"/>
  </sortState>
  <mergeCells count="25">
    <mergeCell ref="A2:C2"/>
    <mergeCell ref="F2:O2"/>
    <mergeCell ref="F3:O3"/>
    <mergeCell ref="X4:X5"/>
    <mergeCell ref="S4:S5"/>
    <mergeCell ref="T4:T5"/>
    <mergeCell ref="U4:U5"/>
    <mergeCell ref="V4:V5"/>
    <mergeCell ref="W4:W5"/>
    <mergeCell ref="A1:Y1"/>
    <mergeCell ref="C4:E5"/>
    <mergeCell ref="F4:F5"/>
    <mergeCell ref="G4:G5"/>
    <mergeCell ref="H4:H5"/>
    <mergeCell ref="I4:I5"/>
    <mergeCell ref="J4:J5"/>
    <mergeCell ref="K4:K5"/>
    <mergeCell ref="L4:L5"/>
    <mergeCell ref="M4:M5"/>
    <mergeCell ref="Y4:Y5"/>
    <mergeCell ref="N4:N5"/>
    <mergeCell ref="O4:O5"/>
    <mergeCell ref="P4:P5"/>
    <mergeCell ref="Q4:Q5"/>
    <mergeCell ref="R4:R5"/>
  </mergeCells>
  <printOptions horizontalCentered="1"/>
  <pageMargins left="0.39370078740157483" right="0" top="0.39370078740157483" bottom="0" header="0.31496062992125984" footer="0.31496062992125984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A40"/>
  <sheetViews>
    <sheetView topLeftCell="A4" workbookViewId="0">
      <selection activeCell="E34" sqref="A6:E34"/>
    </sheetView>
  </sheetViews>
  <sheetFormatPr defaultRowHeight="15.9" customHeight="1" x14ac:dyDescent="0.25"/>
  <cols>
    <col min="1" max="1" width="4.8984375" style="88" customWidth="1"/>
    <col min="2" max="2" width="6.59765625" style="88" customWidth="1"/>
    <col min="3" max="3" width="6.8984375" style="88" customWidth="1"/>
    <col min="4" max="4" width="10.3984375" style="88" customWidth="1"/>
    <col min="5" max="5" width="11.3984375" style="88" customWidth="1"/>
    <col min="6" max="20" width="2.69921875" style="88" customWidth="1"/>
    <col min="21" max="25" width="2.69921875" style="88" hidden="1" customWidth="1"/>
    <col min="26" max="26" width="0" style="88" hidden="1" customWidth="1"/>
    <col min="27" max="27" width="9" style="88"/>
  </cols>
  <sheetData>
    <row r="1" spans="1:27" ht="15.9" customHeight="1" x14ac:dyDescent="0.25">
      <c r="A1" s="298" t="s">
        <v>1001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</row>
    <row r="2" spans="1:27" s="19" customFormat="1" ht="15.9" customHeight="1" x14ac:dyDescent="0.3">
      <c r="A2" s="298" t="s">
        <v>32</v>
      </c>
      <c r="B2" s="298"/>
      <c r="C2" s="298"/>
      <c r="D2" s="82">
        <v>609</v>
      </c>
      <c r="E2" s="82" t="s">
        <v>6</v>
      </c>
      <c r="F2" s="304" t="s">
        <v>937</v>
      </c>
      <c r="G2" s="304"/>
      <c r="H2" s="304"/>
      <c r="I2" s="304"/>
      <c r="J2" s="304"/>
      <c r="K2" s="304"/>
      <c r="L2" s="304"/>
      <c r="M2" s="304"/>
      <c r="N2" s="304"/>
      <c r="O2" s="304"/>
      <c r="P2" s="83"/>
      <c r="Q2" s="83"/>
      <c r="R2" s="83"/>
      <c r="S2" s="83"/>
      <c r="T2" s="83"/>
      <c r="U2" s="83"/>
      <c r="V2" s="83"/>
      <c r="W2" s="83"/>
      <c r="X2" s="83"/>
      <c r="Y2" s="83"/>
      <c r="Z2" s="88"/>
      <c r="AA2" s="88"/>
    </row>
    <row r="3" spans="1:27" s="19" customFormat="1" ht="15.9" customHeight="1" thickBot="1" x14ac:dyDescent="0.35">
      <c r="A3" s="74"/>
      <c r="B3" s="304" t="s">
        <v>922</v>
      </c>
      <c r="C3" s="304"/>
      <c r="D3" s="304"/>
      <c r="E3" s="83"/>
      <c r="F3" s="304" t="s">
        <v>938</v>
      </c>
      <c r="G3" s="304"/>
      <c r="H3" s="304"/>
      <c r="I3" s="304"/>
      <c r="J3" s="304"/>
      <c r="K3" s="304"/>
      <c r="L3" s="304"/>
      <c r="M3" s="304"/>
      <c r="N3" s="304"/>
      <c r="O3" s="304"/>
      <c r="P3" s="83"/>
      <c r="Q3" s="83"/>
      <c r="R3" s="83"/>
      <c r="S3" s="83"/>
      <c r="T3" s="83"/>
      <c r="U3" s="269"/>
      <c r="V3" s="269"/>
      <c r="W3" s="269"/>
      <c r="X3" s="269"/>
      <c r="Y3" s="269"/>
      <c r="Z3" s="88"/>
      <c r="AA3" s="88"/>
    </row>
    <row r="4" spans="1:27" s="67" customFormat="1" ht="15.9" customHeight="1" x14ac:dyDescent="0.25">
      <c r="A4" s="291" t="s">
        <v>1</v>
      </c>
      <c r="B4" s="278" t="s">
        <v>2</v>
      </c>
      <c r="C4" s="306" t="s">
        <v>3</v>
      </c>
      <c r="D4" s="306"/>
      <c r="E4" s="307"/>
      <c r="F4" s="310"/>
      <c r="G4" s="306"/>
      <c r="H4" s="306"/>
      <c r="I4" s="306"/>
      <c r="J4" s="306"/>
      <c r="K4" s="306"/>
      <c r="L4" s="306"/>
      <c r="M4" s="306"/>
      <c r="N4" s="306"/>
      <c r="O4" s="306"/>
      <c r="P4" s="306"/>
      <c r="Q4" s="306"/>
      <c r="R4" s="306"/>
      <c r="S4" s="306"/>
      <c r="T4" s="307"/>
      <c r="U4" s="316"/>
      <c r="V4" s="314"/>
      <c r="W4" s="314"/>
      <c r="X4" s="314"/>
      <c r="Y4" s="312"/>
      <c r="Z4" s="88"/>
      <c r="AA4" s="88"/>
    </row>
    <row r="5" spans="1:27" s="67" customFormat="1" ht="15.9" customHeight="1" thickBot="1" x14ac:dyDescent="0.3">
      <c r="A5" s="292" t="s">
        <v>0</v>
      </c>
      <c r="B5" s="279" t="s">
        <v>4</v>
      </c>
      <c r="C5" s="308"/>
      <c r="D5" s="308"/>
      <c r="E5" s="309"/>
      <c r="F5" s="311"/>
      <c r="G5" s="308"/>
      <c r="H5" s="308"/>
      <c r="I5" s="308"/>
      <c r="J5" s="308"/>
      <c r="K5" s="308"/>
      <c r="L5" s="308"/>
      <c r="M5" s="308"/>
      <c r="N5" s="308"/>
      <c r="O5" s="308"/>
      <c r="P5" s="308"/>
      <c r="Q5" s="308"/>
      <c r="R5" s="308"/>
      <c r="S5" s="308"/>
      <c r="T5" s="309"/>
      <c r="U5" s="317"/>
      <c r="V5" s="315"/>
      <c r="W5" s="315"/>
      <c r="X5" s="315"/>
      <c r="Y5" s="313"/>
      <c r="Z5" s="88"/>
      <c r="AA5" s="88"/>
    </row>
    <row r="6" spans="1:27" ht="15.9" customHeight="1" x14ac:dyDescent="0.25">
      <c r="A6" s="265">
        <v>1</v>
      </c>
      <c r="B6" s="29" t="s">
        <v>825</v>
      </c>
      <c r="C6" s="29" t="s">
        <v>23</v>
      </c>
      <c r="D6" s="29" t="s">
        <v>411</v>
      </c>
      <c r="E6" s="30" t="s">
        <v>412</v>
      </c>
      <c r="F6" s="107"/>
      <c r="G6" s="108"/>
      <c r="H6" s="108"/>
      <c r="I6" s="108"/>
      <c r="J6" s="108"/>
      <c r="K6" s="108"/>
      <c r="L6" s="108"/>
      <c r="M6" s="108"/>
      <c r="N6" s="108"/>
      <c r="O6" s="108"/>
      <c r="P6" s="108"/>
      <c r="Q6" s="108"/>
      <c r="R6" s="108"/>
      <c r="S6" s="108"/>
      <c r="T6" s="109"/>
      <c r="U6" s="107"/>
      <c r="V6" s="108"/>
      <c r="W6" s="108"/>
      <c r="X6" s="108"/>
      <c r="Y6" s="109"/>
    </row>
    <row r="7" spans="1:27" ht="15.9" customHeight="1" x14ac:dyDescent="0.25">
      <c r="A7" s="266">
        <v>2</v>
      </c>
      <c r="B7" s="28" t="s">
        <v>750</v>
      </c>
      <c r="C7" s="28" t="s">
        <v>23</v>
      </c>
      <c r="D7" s="28" t="s">
        <v>30</v>
      </c>
      <c r="E7" s="31" t="s">
        <v>320</v>
      </c>
      <c r="F7" s="110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11"/>
      <c r="U7" s="110"/>
      <c r="V7" s="106"/>
      <c r="W7" s="106"/>
      <c r="X7" s="106"/>
      <c r="Y7" s="111"/>
    </row>
    <row r="8" spans="1:27" ht="15.9" customHeight="1" x14ac:dyDescent="0.25">
      <c r="A8" s="266">
        <v>3</v>
      </c>
      <c r="B8" s="28" t="s">
        <v>826</v>
      </c>
      <c r="C8" s="28" t="s">
        <v>23</v>
      </c>
      <c r="D8" s="28" t="s">
        <v>15</v>
      </c>
      <c r="E8" s="31" t="s">
        <v>415</v>
      </c>
      <c r="F8" s="110"/>
      <c r="G8" s="106"/>
      <c r="H8" s="106"/>
      <c r="I8" s="106"/>
      <c r="J8" s="106"/>
      <c r="K8" s="106"/>
      <c r="L8" s="106"/>
      <c r="M8" s="106"/>
      <c r="N8" s="106"/>
      <c r="O8" s="106"/>
      <c r="P8" s="106"/>
      <c r="Q8" s="106"/>
      <c r="R8" s="106"/>
      <c r="S8" s="106"/>
      <c r="T8" s="111"/>
      <c r="U8" s="110"/>
      <c r="V8" s="106"/>
      <c r="W8" s="106"/>
      <c r="X8" s="106"/>
      <c r="Y8" s="111"/>
    </row>
    <row r="9" spans="1:27" ht="15.9" customHeight="1" x14ac:dyDescent="0.25">
      <c r="A9" s="266">
        <v>4</v>
      </c>
      <c r="B9" s="28" t="s">
        <v>827</v>
      </c>
      <c r="C9" s="28" t="s">
        <v>23</v>
      </c>
      <c r="D9" s="28" t="s">
        <v>409</v>
      </c>
      <c r="E9" s="31" t="s">
        <v>410</v>
      </c>
      <c r="F9" s="110"/>
      <c r="G9" s="106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11"/>
      <c r="U9" s="110"/>
      <c r="V9" s="106"/>
      <c r="W9" s="106"/>
      <c r="X9" s="106"/>
      <c r="Y9" s="111"/>
    </row>
    <row r="10" spans="1:27" ht="15.9" customHeight="1" thickBot="1" x14ac:dyDescent="0.3">
      <c r="A10" s="267">
        <v>5</v>
      </c>
      <c r="B10" s="20" t="s">
        <v>828</v>
      </c>
      <c r="C10" s="20" t="s">
        <v>23</v>
      </c>
      <c r="D10" s="20" t="s">
        <v>413</v>
      </c>
      <c r="E10" s="21" t="s">
        <v>414</v>
      </c>
      <c r="F10" s="112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4"/>
      <c r="U10" s="112"/>
      <c r="V10" s="113"/>
      <c r="W10" s="113"/>
      <c r="X10" s="113"/>
      <c r="Y10" s="114"/>
    </row>
    <row r="11" spans="1:27" ht="15.9" customHeight="1" x14ac:dyDescent="0.25">
      <c r="A11" s="265">
        <v>6</v>
      </c>
      <c r="B11" s="29" t="s">
        <v>829</v>
      </c>
      <c r="C11" s="29" t="s">
        <v>23</v>
      </c>
      <c r="D11" s="29" t="s">
        <v>417</v>
      </c>
      <c r="E11" s="30" t="s">
        <v>418</v>
      </c>
      <c r="F11" s="107"/>
      <c r="G11" s="108"/>
      <c r="H11" s="108"/>
      <c r="I11" s="108"/>
      <c r="J11" s="108"/>
      <c r="K11" s="108"/>
      <c r="L11" s="108"/>
      <c r="M11" s="108"/>
      <c r="N11" s="108"/>
      <c r="O11" s="108"/>
      <c r="P11" s="108"/>
      <c r="Q11" s="108"/>
      <c r="R11" s="108"/>
      <c r="S11" s="108"/>
      <c r="T11" s="109"/>
      <c r="U11" s="115"/>
      <c r="V11" s="116"/>
      <c r="W11" s="116"/>
      <c r="X11" s="116"/>
      <c r="Y11" s="117"/>
    </row>
    <row r="12" spans="1:27" ht="15.9" customHeight="1" x14ac:dyDescent="0.25">
      <c r="A12" s="266">
        <v>7</v>
      </c>
      <c r="B12" s="28" t="s">
        <v>830</v>
      </c>
      <c r="C12" s="28" t="s">
        <v>23</v>
      </c>
      <c r="D12" s="28" t="s">
        <v>164</v>
      </c>
      <c r="E12" s="31" t="s">
        <v>419</v>
      </c>
      <c r="F12" s="110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11"/>
      <c r="U12" s="110"/>
      <c r="V12" s="106"/>
      <c r="W12" s="106"/>
      <c r="X12" s="106"/>
      <c r="Y12" s="111"/>
    </row>
    <row r="13" spans="1:27" ht="15.9" customHeight="1" x14ac:dyDescent="0.25">
      <c r="A13" s="266">
        <v>8</v>
      </c>
      <c r="B13" s="28" t="s">
        <v>831</v>
      </c>
      <c r="C13" s="28" t="s">
        <v>23</v>
      </c>
      <c r="D13" s="28" t="s">
        <v>832</v>
      </c>
      <c r="E13" s="31" t="s">
        <v>416</v>
      </c>
      <c r="F13" s="110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87"/>
      <c r="R13" s="106"/>
      <c r="S13" s="106"/>
      <c r="T13" s="111"/>
      <c r="U13" s="110"/>
      <c r="V13" s="106"/>
      <c r="W13" s="106"/>
      <c r="X13" s="106"/>
      <c r="Y13" s="111"/>
    </row>
    <row r="14" spans="1:27" ht="15.9" customHeight="1" x14ac:dyDescent="0.25">
      <c r="A14" s="266">
        <v>9</v>
      </c>
      <c r="B14" s="28" t="s">
        <v>833</v>
      </c>
      <c r="C14" s="28" t="s">
        <v>23</v>
      </c>
      <c r="D14" s="28" t="s">
        <v>834</v>
      </c>
      <c r="E14" s="31" t="s">
        <v>835</v>
      </c>
      <c r="F14" s="110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11"/>
      <c r="U14" s="110"/>
      <c r="V14" s="106"/>
      <c r="W14" s="106"/>
      <c r="X14" s="106"/>
      <c r="Y14" s="111"/>
    </row>
    <row r="15" spans="1:27" ht="15.9" customHeight="1" thickBot="1" x14ac:dyDescent="0.3">
      <c r="A15" s="267">
        <v>10</v>
      </c>
      <c r="B15" s="20" t="s">
        <v>953</v>
      </c>
      <c r="C15" s="20" t="s">
        <v>23</v>
      </c>
      <c r="D15" s="20" t="s">
        <v>954</v>
      </c>
      <c r="E15" s="21" t="s">
        <v>955</v>
      </c>
      <c r="F15" s="112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4"/>
      <c r="U15" s="157"/>
      <c r="V15" s="158"/>
      <c r="W15" s="158"/>
      <c r="X15" s="158"/>
      <c r="Y15" s="159"/>
    </row>
    <row r="16" spans="1:27" ht="15.9" customHeight="1" thickBot="1" x14ac:dyDescent="0.3">
      <c r="A16" s="265">
        <v>11</v>
      </c>
      <c r="B16" s="29" t="s">
        <v>836</v>
      </c>
      <c r="C16" s="29" t="s">
        <v>24</v>
      </c>
      <c r="D16" s="29" t="s">
        <v>440</v>
      </c>
      <c r="E16" s="30" t="s">
        <v>441</v>
      </c>
      <c r="F16" s="107"/>
      <c r="G16" s="108"/>
      <c r="H16" s="108"/>
      <c r="I16" s="108"/>
      <c r="J16" s="108"/>
      <c r="K16" s="108"/>
      <c r="L16" s="108"/>
      <c r="M16" s="108"/>
      <c r="N16" s="108"/>
      <c r="O16" s="108"/>
      <c r="P16" s="108"/>
      <c r="Q16" s="108"/>
      <c r="R16" s="108"/>
      <c r="S16" s="108"/>
      <c r="T16" s="109"/>
      <c r="U16" s="112"/>
      <c r="V16" s="113"/>
      <c r="W16" s="113"/>
      <c r="X16" s="113"/>
      <c r="Y16" s="114"/>
    </row>
    <row r="17" spans="1:27" ht="15.9" customHeight="1" x14ac:dyDescent="0.25">
      <c r="A17" s="266">
        <v>12</v>
      </c>
      <c r="B17" s="28" t="s">
        <v>837</v>
      </c>
      <c r="C17" s="28" t="s">
        <v>24</v>
      </c>
      <c r="D17" s="28" t="s">
        <v>444</v>
      </c>
      <c r="E17" s="31" t="s">
        <v>445</v>
      </c>
      <c r="F17" s="110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11"/>
      <c r="U17" s="160"/>
      <c r="V17" s="161"/>
      <c r="W17" s="161"/>
      <c r="X17" s="161"/>
      <c r="Y17" s="162"/>
    </row>
    <row r="18" spans="1:27" ht="15.9" customHeight="1" x14ac:dyDescent="0.25">
      <c r="A18" s="266">
        <v>13</v>
      </c>
      <c r="B18" s="28" t="s">
        <v>838</v>
      </c>
      <c r="C18" s="28" t="s">
        <v>24</v>
      </c>
      <c r="D18" s="28" t="s">
        <v>427</v>
      </c>
      <c r="E18" s="31" t="s">
        <v>428</v>
      </c>
      <c r="F18" s="110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11"/>
      <c r="U18" s="115"/>
      <c r="V18" s="116"/>
      <c r="W18" s="116"/>
      <c r="X18" s="116"/>
      <c r="Y18" s="117"/>
    </row>
    <row r="19" spans="1:27" ht="15.9" customHeight="1" x14ac:dyDescent="0.25">
      <c r="A19" s="266">
        <v>14</v>
      </c>
      <c r="B19" s="28" t="s">
        <v>839</v>
      </c>
      <c r="C19" s="28" t="s">
        <v>24</v>
      </c>
      <c r="D19" s="28" t="s">
        <v>438</v>
      </c>
      <c r="E19" s="31" t="s">
        <v>439</v>
      </c>
      <c r="F19" s="110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11"/>
      <c r="U19" s="110"/>
      <c r="V19" s="106"/>
      <c r="W19" s="106"/>
      <c r="X19" s="106"/>
      <c r="Y19" s="111"/>
    </row>
    <row r="20" spans="1:27" ht="15.9" customHeight="1" thickBot="1" x14ac:dyDescent="0.3">
      <c r="A20" s="267">
        <v>15</v>
      </c>
      <c r="B20" s="20" t="s">
        <v>840</v>
      </c>
      <c r="C20" s="20" t="s">
        <v>24</v>
      </c>
      <c r="D20" s="20" t="s">
        <v>425</v>
      </c>
      <c r="E20" s="21" t="s">
        <v>426</v>
      </c>
      <c r="F20" s="112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4"/>
      <c r="U20" s="110"/>
      <c r="V20" s="106"/>
      <c r="W20" s="106"/>
      <c r="X20" s="106"/>
      <c r="Y20" s="111"/>
    </row>
    <row r="21" spans="1:27" ht="15.9" customHeight="1" x14ac:dyDescent="0.25">
      <c r="A21" s="265">
        <v>16</v>
      </c>
      <c r="B21" s="29" t="s">
        <v>841</v>
      </c>
      <c r="C21" s="29" t="s">
        <v>24</v>
      </c>
      <c r="D21" s="29" t="s">
        <v>432</v>
      </c>
      <c r="E21" s="30" t="s">
        <v>433</v>
      </c>
      <c r="F21" s="107"/>
      <c r="G21" s="108"/>
      <c r="H21" s="108"/>
      <c r="I21" s="108"/>
      <c r="J21" s="108"/>
      <c r="K21" s="108"/>
      <c r="L21" s="108"/>
      <c r="M21" s="108"/>
      <c r="N21" s="108"/>
      <c r="O21" s="108"/>
      <c r="P21" s="108"/>
      <c r="Q21" s="108"/>
      <c r="R21" s="108"/>
      <c r="S21" s="108"/>
      <c r="T21" s="109"/>
      <c r="U21" s="110"/>
      <c r="V21" s="106"/>
      <c r="W21" s="106"/>
      <c r="X21" s="106"/>
      <c r="Y21" s="111"/>
    </row>
    <row r="22" spans="1:27" ht="15.9" customHeight="1" thickBot="1" x14ac:dyDescent="0.3">
      <c r="A22" s="266">
        <v>17</v>
      </c>
      <c r="B22" s="28" t="s">
        <v>842</v>
      </c>
      <c r="C22" s="28" t="s">
        <v>24</v>
      </c>
      <c r="D22" s="28" t="s">
        <v>420</v>
      </c>
      <c r="E22" s="31" t="s">
        <v>421</v>
      </c>
      <c r="F22" s="110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11"/>
      <c r="U22" s="112"/>
      <c r="V22" s="113"/>
      <c r="W22" s="113"/>
      <c r="X22" s="113"/>
      <c r="Y22" s="114"/>
    </row>
    <row r="23" spans="1:27" ht="15.9" customHeight="1" x14ac:dyDescent="0.25">
      <c r="A23" s="266">
        <v>18</v>
      </c>
      <c r="B23" s="28" t="s">
        <v>843</v>
      </c>
      <c r="C23" s="28" t="s">
        <v>24</v>
      </c>
      <c r="D23" s="28" t="s">
        <v>844</v>
      </c>
      <c r="E23" s="31" t="s">
        <v>434</v>
      </c>
      <c r="F23" s="110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11"/>
      <c r="U23" s="107"/>
      <c r="V23" s="108"/>
      <c r="W23" s="108"/>
      <c r="X23" s="108"/>
      <c r="Y23" s="109"/>
    </row>
    <row r="24" spans="1:27" ht="15.9" customHeight="1" x14ac:dyDescent="0.25">
      <c r="A24" s="266">
        <v>19</v>
      </c>
      <c r="B24" s="28" t="s">
        <v>845</v>
      </c>
      <c r="C24" s="28" t="s">
        <v>24</v>
      </c>
      <c r="D24" s="28" t="s">
        <v>424</v>
      </c>
      <c r="E24" s="31" t="s">
        <v>54</v>
      </c>
      <c r="F24" s="110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6"/>
      <c r="R24" s="106"/>
      <c r="S24" s="106"/>
      <c r="T24" s="111"/>
      <c r="U24" s="110"/>
      <c r="V24" s="106"/>
      <c r="W24" s="106"/>
      <c r="X24" s="106"/>
      <c r="Y24" s="111"/>
    </row>
    <row r="25" spans="1:27" ht="15.9" customHeight="1" thickBot="1" x14ac:dyDescent="0.3">
      <c r="A25" s="267">
        <v>20</v>
      </c>
      <c r="B25" s="20" t="s">
        <v>846</v>
      </c>
      <c r="C25" s="20" t="s">
        <v>24</v>
      </c>
      <c r="D25" s="20" t="s">
        <v>422</v>
      </c>
      <c r="E25" s="21" t="s">
        <v>423</v>
      </c>
      <c r="F25" s="112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4"/>
      <c r="U25" s="110"/>
      <c r="V25" s="106"/>
      <c r="W25" s="106"/>
      <c r="X25" s="106"/>
      <c r="Y25" s="111"/>
    </row>
    <row r="26" spans="1:27" ht="15.9" customHeight="1" x14ac:dyDescent="0.25">
      <c r="A26" s="265">
        <v>21</v>
      </c>
      <c r="B26" s="29" t="s">
        <v>847</v>
      </c>
      <c r="C26" s="29" t="s">
        <v>24</v>
      </c>
      <c r="D26" s="29" t="s">
        <v>429</v>
      </c>
      <c r="E26" s="30" t="s">
        <v>430</v>
      </c>
      <c r="F26" s="107"/>
      <c r="G26" s="108"/>
      <c r="H26" s="108"/>
      <c r="I26" s="108"/>
      <c r="J26" s="108"/>
      <c r="K26" s="108"/>
      <c r="L26" s="108"/>
      <c r="M26" s="108"/>
      <c r="N26" s="108"/>
      <c r="O26" s="108"/>
      <c r="P26" s="108"/>
      <c r="Q26" s="108"/>
      <c r="R26" s="108"/>
      <c r="S26" s="108"/>
      <c r="T26" s="109"/>
      <c r="U26" s="110"/>
      <c r="V26" s="106"/>
      <c r="W26" s="106"/>
      <c r="X26" s="106"/>
      <c r="Y26" s="111"/>
    </row>
    <row r="27" spans="1:27" ht="15.9" customHeight="1" thickBot="1" x14ac:dyDescent="0.3">
      <c r="A27" s="266">
        <v>22</v>
      </c>
      <c r="B27" s="28" t="s">
        <v>848</v>
      </c>
      <c r="C27" s="28" t="s">
        <v>24</v>
      </c>
      <c r="D27" s="28" t="s">
        <v>436</v>
      </c>
      <c r="E27" s="31" t="s">
        <v>437</v>
      </c>
      <c r="F27" s="110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11"/>
      <c r="U27" s="112"/>
      <c r="V27" s="113"/>
      <c r="W27" s="113"/>
      <c r="X27" s="113"/>
      <c r="Y27" s="114"/>
    </row>
    <row r="28" spans="1:27" s="15" customFormat="1" ht="15.9" customHeight="1" x14ac:dyDescent="0.6">
      <c r="A28" s="266">
        <v>23</v>
      </c>
      <c r="B28" s="28" t="s">
        <v>849</v>
      </c>
      <c r="C28" s="28" t="s">
        <v>24</v>
      </c>
      <c r="D28" s="28" t="s">
        <v>442</v>
      </c>
      <c r="E28" s="31" t="s">
        <v>443</v>
      </c>
      <c r="F28" s="110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11"/>
      <c r="U28" s="107"/>
      <c r="V28" s="108"/>
      <c r="W28" s="108"/>
      <c r="X28" s="108"/>
      <c r="Y28" s="109"/>
      <c r="Z28" s="88"/>
      <c r="AA28" s="88"/>
    </row>
    <row r="29" spans="1:27" s="15" customFormat="1" ht="15.9" customHeight="1" x14ac:dyDescent="0.6">
      <c r="A29" s="266">
        <v>24</v>
      </c>
      <c r="B29" s="28" t="s">
        <v>850</v>
      </c>
      <c r="C29" s="28" t="s">
        <v>24</v>
      </c>
      <c r="D29" s="28" t="s">
        <v>851</v>
      </c>
      <c r="E29" s="31" t="s">
        <v>435</v>
      </c>
      <c r="F29" s="110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6"/>
      <c r="T29" s="111"/>
      <c r="U29" s="115"/>
      <c r="V29" s="116"/>
      <c r="W29" s="116"/>
      <c r="X29" s="116"/>
      <c r="Y29" s="117"/>
      <c r="Z29" s="88"/>
      <c r="AA29" s="88"/>
    </row>
    <row r="30" spans="1:27" ht="15.9" customHeight="1" thickBot="1" x14ac:dyDescent="0.3">
      <c r="A30" s="267">
        <v>25</v>
      </c>
      <c r="B30" s="20" t="s">
        <v>852</v>
      </c>
      <c r="C30" s="20" t="s">
        <v>24</v>
      </c>
      <c r="D30" s="20" t="s">
        <v>431</v>
      </c>
      <c r="E30" s="21" t="s">
        <v>376</v>
      </c>
      <c r="F30" s="112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4"/>
      <c r="U30" s="110"/>
      <c r="V30" s="106"/>
      <c r="W30" s="106"/>
      <c r="X30" s="106"/>
      <c r="Y30" s="111"/>
    </row>
    <row r="31" spans="1:27" ht="15.9" customHeight="1" x14ac:dyDescent="0.25">
      <c r="A31" s="265">
        <v>26</v>
      </c>
      <c r="B31" s="29" t="s">
        <v>853</v>
      </c>
      <c r="C31" s="29" t="s">
        <v>24</v>
      </c>
      <c r="D31" s="29" t="s">
        <v>854</v>
      </c>
      <c r="E31" s="30" t="s">
        <v>448</v>
      </c>
      <c r="F31" s="107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9"/>
      <c r="U31" s="110"/>
      <c r="V31" s="106"/>
      <c r="W31" s="106"/>
      <c r="X31" s="106"/>
      <c r="Y31" s="111"/>
    </row>
    <row r="32" spans="1:27" ht="15.9" customHeight="1" thickBot="1" x14ac:dyDescent="0.3">
      <c r="A32" s="266">
        <v>27</v>
      </c>
      <c r="B32" s="28" t="s">
        <v>855</v>
      </c>
      <c r="C32" s="28" t="s">
        <v>24</v>
      </c>
      <c r="D32" s="28" t="s">
        <v>446</v>
      </c>
      <c r="E32" s="31" t="s">
        <v>447</v>
      </c>
      <c r="F32" s="110"/>
      <c r="G32" s="106"/>
      <c r="H32" s="106"/>
      <c r="I32" s="106"/>
      <c r="J32" s="106"/>
      <c r="K32" s="106"/>
      <c r="L32" s="106"/>
      <c r="M32" s="106"/>
      <c r="N32" s="106"/>
      <c r="O32" s="106"/>
      <c r="P32" s="106"/>
      <c r="Q32" s="106"/>
      <c r="R32" s="106"/>
      <c r="S32" s="106"/>
      <c r="T32" s="111"/>
      <c r="U32" s="110"/>
      <c r="V32" s="106"/>
      <c r="W32" s="106"/>
      <c r="X32" s="106"/>
      <c r="Y32" s="111"/>
    </row>
    <row r="33" spans="1:25" ht="15.9" customHeight="1" x14ac:dyDescent="0.25">
      <c r="A33" s="266">
        <v>28</v>
      </c>
      <c r="B33" s="28" t="s">
        <v>856</v>
      </c>
      <c r="C33" s="28" t="s">
        <v>24</v>
      </c>
      <c r="D33" s="28" t="s">
        <v>449</v>
      </c>
      <c r="E33" s="31" t="s">
        <v>450</v>
      </c>
      <c r="F33" s="110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6"/>
      <c r="S33" s="106"/>
      <c r="T33" s="111"/>
      <c r="U33" s="107"/>
      <c r="V33" s="108"/>
      <c r="W33" s="108"/>
      <c r="X33" s="108"/>
      <c r="Y33" s="109"/>
    </row>
    <row r="34" spans="1:25" ht="15.9" customHeight="1" thickBot="1" x14ac:dyDescent="0.3">
      <c r="A34" s="267">
        <v>29</v>
      </c>
      <c r="B34" s="20" t="s">
        <v>974</v>
      </c>
      <c r="C34" s="20" t="s">
        <v>24</v>
      </c>
      <c r="D34" s="20" t="s">
        <v>975</v>
      </c>
      <c r="E34" s="21" t="s">
        <v>185</v>
      </c>
      <c r="F34" s="112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4"/>
      <c r="U34" s="110"/>
      <c r="V34" s="106"/>
      <c r="W34" s="106"/>
      <c r="X34" s="106"/>
      <c r="Y34" s="111"/>
    </row>
    <row r="35" spans="1:25" ht="15.9" customHeight="1" x14ac:dyDescent="0.25">
      <c r="A35" s="250"/>
      <c r="B35" s="168"/>
      <c r="C35" s="168"/>
      <c r="D35" s="168"/>
      <c r="E35" s="247"/>
      <c r="F35" s="115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7"/>
      <c r="U35" s="110"/>
      <c r="V35" s="106"/>
      <c r="W35" s="106"/>
      <c r="X35" s="106"/>
      <c r="Y35" s="111"/>
    </row>
    <row r="36" spans="1:25" ht="15.9" customHeight="1" x14ac:dyDescent="0.25">
      <c r="A36" s="198"/>
      <c r="B36" s="182"/>
      <c r="C36" s="187"/>
      <c r="D36" s="28"/>
      <c r="E36" s="31"/>
      <c r="F36" s="110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6"/>
      <c r="T36" s="111"/>
      <c r="U36" s="110"/>
      <c r="V36" s="106"/>
      <c r="W36" s="106"/>
      <c r="X36" s="106"/>
      <c r="Y36" s="111"/>
    </row>
    <row r="37" spans="1:25" ht="15.9" customHeight="1" thickBot="1" x14ac:dyDescent="0.3">
      <c r="A37" s="198"/>
      <c r="B37" s="203"/>
      <c r="C37" s="208"/>
      <c r="D37" s="87"/>
      <c r="E37" s="209"/>
      <c r="F37" s="110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11"/>
      <c r="U37" s="112"/>
      <c r="V37" s="113"/>
      <c r="W37" s="113"/>
      <c r="X37" s="113"/>
      <c r="Y37" s="114"/>
    </row>
    <row r="38" spans="1:25" ht="15.9" customHeight="1" x14ac:dyDescent="0.25">
      <c r="A38" s="198"/>
      <c r="B38" s="203"/>
      <c r="C38" s="208"/>
      <c r="D38" s="87"/>
      <c r="E38" s="209"/>
      <c r="F38" s="110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11"/>
      <c r="U38" s="107"/>
      <c r="V38" s="108"/>
      <c r="W38" s="108"/>
      <c r="X38" s="108"/>
      <c r="Y38" s="109"/>
    </row>
    <row r="39" spans="1:25" ht="15.9" customHeight="1" thickBot="1" x14ac:dyDescent="0.3">
      <c r="A39" s="199"/>
      <c r="B39" s="204"/>
      <c r="C39" s="210"/>
      <c r="D39" s="196"/>
      <c r="E39" s="211"/>
      <c r="F39" s="112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4"/>
      <c r="U39" s="110"/>
      <c r="V39" s="106"/>
      <c r="W39" s="106"/>
      <c r="X39" s="106"/>
      <c r="Y39" s="111"/>
    </row>
    <row r="40" spans="1:25" ht="15.9" customHeight="1" x14ac:dyDescent="0.25">
      <c r="A40" s="118" t="s">
        <v>20</v>
      </c>
      <c r="B40" s="119">
        <f>SUM(COUNTIF(C4:C39,{"นาย","เด็กชาย"}))</f>
        <v>10</v>
      </c>
      <c r="C40" s="120" t="s">
        <v>21</v>
      </c>
      <c r="D40" s="119">
        <f>SUM(COUNTIF(C4:C39,{"นางสาว","เด็กหญิง"}))</f>
        <v>19</v>
      </c>
      <c r="E40" s="120" t="s">
        <v>22</v>
      </c>
      <c r="F40" s="88">
        <f>B40+D40</f>
        <v>29</v>
      </c>
    </row>
  </sheetData>
  <sortState xmlns:xlrd2="http://schemas.microsoft.com/office/spreadsheetml/2017/richdata2" ref="C30:E35">
    <sortCondition ref="D30:D35"/>
  </sortState>
  <mergeCells count="26">
    <mergeCell ref="A2:C2"/>
    <mergeCell ref="F2:O2"/>
    <mergeCell ref="F3:O3"/>
    <mergeCell ref="X4:X5"/>
    <mergeCell ref="S4:S5"/>
    <mergeCell ref="T4:T5"/>
    <mergeCell ref="U4:U5"/>
    <mergeCell ref="V4:V5"/>
    <mergeCell ref="W4:W5"/>
    <mergeCell ref="B3:D3"/>
    <mergeCell ref="A1:Y1"/>
    <mergeCell ref="C4:E5"/>
    <mergeCell ref="F4:F5"/>
    <mergeCell ref="G4:G5"/>
    <mergeCell ref="H4:H5"/>
    <mergeCell ref="I4:I5"/>
    <mergeCell ref="J4:J5"/>
    <mergeCell ref="K4:K5"/>
    <mergeCell ref="L4:L5"/>
    <mergeCell ref="M4:M5"/>
    <mergeCell ref="Y4:Y5"/>
    <mergeCell ref="N4:N5"/>
    <mergeCell ref="O4:O5"/>
    <mergeCell ref="P4:P5"/>
    <mergeCell ref="Q4:Q5"/>
    <mergeCell ref="R4:R5"/>
  </mergeCells>
  <printOptions horizontalCentered="1"/>
  <pageMargins left="0.39370078740157483" right="0" top="0.39370078740157483" bottom="0" header="0.31496062992125984" footer="0.31496062992125984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K41"/>
  <sheetViews>
    <sheetView workbookViewId="0">
      <selection activeCell="AC13" sqref="AC13"/>
    </sheetView>
  </sheetViews>
  <sheetFormatPr defaultColWidth="9" defaultRowHeight="15.9" customHeight="1" x14ac:dyDescent="0.7"/>
  <cols>
    <col min="1" max="1" width="4.3984375" style="76" customWidth="1"/>
    <col min="2" max="2" width="7" style="76" customWidth="1"/>
    <col min="3" max="3" width="7.69921875" style="76" customWidth="1"/>
    <col min="4" max="4" width="15.8984375" style="76" customWidth="1"/>
    <col min="5" max="5" width="11.8984375" style="76" customWidth="1"/>
    <col min="6" max="6" width="3.19921875" style="76" customWidth="1"/>
    <col min="7" max="7" width="3.59765625" style="76" customWidth="1"/>
    <col min="8" max="19" width="2.69921875" style="76" customWidth="1"/>
    <col min="20" max="20" width="2.69921875" style="68" customWidth="1"/>
    <col min="21" max="25" width="2.69921875" style="43" hidden="1" customWidth="1"/>
    <col min="26" max="27" width="0" style="43" hidden="1" customWidth="1"/>
    <col min="28" max="16384" width="9" style="43"/>
  </cols>
  <sheetData>
    <row r="1" spans="1:37" s="163" customFormat="1" ht="15.9" customHeight="1" x14ac:dyDescent="0.25">
      <c r="A1" s="298" t="s">
        <v>1001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</row>
    <row r="2" spans="1:37" s="163" customFormat="1" ht="15.9" customHeight="1" x14ac:dyDescent="0.25">
      <c r="A2" s="298" t="s">
        <v>5</v>
      </c>
      <c r="B2" s="298"/>
      <c r="C2" s="298"/>
      <c r="D2" s="82">
        <v>610</v>
      </c>
      <c r="E2" s="82" t="s">
        <v>6</v>
      </c>
      <c r="F2" s="81" t="s">
        <v>940</v>
      </c>
      <c r="G2" s="81"/>
      <c r="H2" s="81"/>
      <c r="I2" s="81"/>
      <c r="J2" s="81"/>
      <c r="K2" s="81"/>
      <c r="L2" s="81"/>
      <c r="M2" s="81"/>
      <c r="N2" s="81"/>
      <c r="O2" s="81"/>
      <c r="P2" s="83"/>
      <c r="Q2" s="83"/>
      <c r="R2" s="83"/>
      <c r="S2" s="83"/>
      <c r="T2" s="83"/>
      <c r="U2" s="83"/>
      <c r="V2" s="83"/>
      <c r="W2" s="83"/>
      <c r="X2" s="83"/>
      <c r="Y2" s="83"/>
      <c r="AB2" s="304"/>
      <c r="AC2" s="304"/>
      <c r="AD2" s="304"/>
      <c r="AE2" s="304"/>
      <c r="AF2" s="304"/>
      <c r="AG2" s="304"/>
      <c r="AH2" s="304"/>
      <c r="AI2" s="304"/>
      <c r="AJ2" s="304"/>
      <c r="AK2" s="304"/>
    </row>
    <row r="3" spans="1:37" s="163" customFormat="1" ht="15.9" customHeight="1" thickBot="1" x14ac:dyDescent="0.3">
      <c r="A3" s="82"/>
      <c r="B3" s="304" t="s">
        <v>490</v>
      </c>
      <c r="C3" s="304"/>
      <c r="D3" s="304"/>
      <c r="E3" s="83"/>
      <c r="F3" s="304" t="s">
        <v>979</v>
      </c>
      <c r="G3" s="304"/>
      <c r="H3" s="304"/>
      <c r="I3" s="304"/>
      <c r="J3" s="304"/>
      <c r="K3" s="304"/>
      <c r="L3" s="304"/>
      <c r="M3" s="304"/>
      <c r="N3" s="304"/>
      <c r="O3" s="304"/>
      <c r="P3" s="83"/>
      <c r="Q3" s="83"/>
      <c r="R3" s="83"/>
      <c r="S3" s="83"/>
      <c r="T3" s="83"/>
      <c r="U3" s="269"/>
      <c r="V3" s="269"/>
      <c r="W3" s="269"/>
      <c r="X3" s="269"/>
      <c r="Y3" s="269"/>
    </row>
    <row r="4" spans="1:37" ht="12.9" customHeight="1" x14ac:dyDescent="0.7">
      <c r="A4" s="258" t="s">
        <v>1</v>
      </c>
      <c r="B4" s="224" t="s">
        <v>2</v>
      </c>
      <c r="C4" s="330" t="s">
        <v>3</v>
      </c>
      <c r="D4" s="330"/>
      <c r="E4" s="331"/>
      <c r="F4" s="334"/>
      <c r="G4" s="330"/>
      <c r="H4" s="330"/>
      <c r="I4" s="330"/>
      <c r="J4" s="330"/>
      <c r="K4" s="330"/>
      <c r="L4" s="330"/>
      <c r="M4" s="330"/>
      <c r="N4" s="330"/>
      <c r="O4" s="330"/>
      <c r="P4" s="330"/>
      <c r="Q4" s="330"/>
      <c r="R4" s="330"/>
      <c r="S4" s="330"/>
      <c r="T4" s="331"/>
      <c r="U4" s="341"/>
      <c r="V4" s="337"/>
      <c r="W4" s="337"/>
      <c r="X4" s="337"/>
      <c r="Y4" s="339"/>
    </row>
    <row r="5" spans="1:37" ht="15" customHeight="1" thickBot="1" x14ac:dyDescent="0.75">
      <c r="A5" s="260" t="s">
        <v>0</v>
      </c>
      <c r="B5" s="288" t="s">
        <v>4</v>
      </c>
      <c r="C5" s="332"/>
      <c r="D5" s="332"/>
      <c r="E5" s="333"/>
      <c r="F5" s="335"/>
      <c r="G5" s="332"/>
      <c r="H5" s="332"/>
      <c r="I5" s="332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3"/>
      <c r="U5" s="342"/>
      <c r="V5" s="338"/>
      <c r="W5" s="338"/>
      <c r="X5" s="338"/>
      <c r="Y5" s="340"/>
    </row>
    <row r="6" spans="1:37" ht="15" customHeight="1" x14ac:dyDescent="0.7">
      <c r="A6" s="178">
        <v>1</v>
      </c>
      <c r="B6" s="272" t="s">
        <v>857</v>
      </c>
      <c r="C6" s="272" t="s">
        <v>23</v>
      </c>
      <c r="D6" s="272" t="s">
        <v>504</v>
      </c>
      <c r="E6" s="273" t="s">
        <v>505</v>
      </c>
      <c r="F6" s="193"/>
      <c r="G6" s="172"/>
      <c r="H6" s="172"/>
      <c r="I6" s="172"/>
      <c r="J6" s="172"/>
      <c r="K6" s="172"/>
      <c r="L6" s="172"/>
      <c r="M6" s="172"/>
      <c r="N6" s="172"/>
      <c r="O6" s="172"/>
      <c r="P6" s="172"/>
      <c r="Q6" s="172"/>
      <c r="R6" s="172"/>
      <c r="S6" s="172"/>
      <c r="T6" s="217"/>
      <c r="U6" s="44"/>
      <c r="V6" s="45"/>
      <c r="W6" s="45"/>
      <c r="X6" s="45"/>
      <c r="Y6" s="46"/>
      <c r="AB6"/>
      <c r="AC6"/>
      <c r="AD6"/>
      <c r="AE6"/>
    </row>
    <row r="7" spans="1:37" ht="15" customHeight="1" x14ac:dyDescent="0.7">
      <c r="A7" s="179">
        <v>2</v>
      </c>
      <c r="B7" s="274" t="s">
        <v>858</v>
      </c>
      <c r="C7" s="274" t="s">
        <v>23</v>
      </c>
      <c r="D7" s="274" t="s">
        <v>506</v>
      </c>
      <c r="E7" s="275" t="s">
        <v>507</v>
      </c>
      <c r="F7" s="194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218"/>
      <c r="U7" s="47"/>
      <c r="V7" s="48"/>
      <c r="W7" s="48"/>
      <c r="X7" s="48"/>
      <c r="Y7" s="49"/>
      <c r="AB7"/>
      <c r="AC7"/>
      <c r="AD7"/>
      <c r="AE7"/>
    </row>
    <row r="8" spans="1:37" ht="15" customHeight="1" x14ac:dyDescent="0.7">
      <c r="A8" s="179">
        <v>3</v>
      </c>
      <c r="B8" s="274" t="s">
        <v>859</v>
      </c>
      <c r="C8" s="274" t="s">
        <v>23</v>
      </c>
      <c r="D8" s="274" t="s">
        <v>860</v>
      </c>
      <c r="E8" s="275" t="s">
        <v>491</v>
      </c>
      <c r="F8" s="194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218"/>
      <c r="U8" s="47"/>
      <c r="V8" s="48"/>
      <c r="W8" s="48"/>
      <c r="X8" s="48"/>
      <c r="Y8" s="49"/>
      <c r="AB8"/>
      <c r="AC8"/>
      <c r="AD8"/>
      <c r="AE8"/>
    </row>
    <row r="9" spans="1:37" ht="15" customHeight="1" x14ac:dyDescent="0.7">
      <c r="A9" s="179">
        <v>4</v>
      </c>
      <c r="B9" s="274" t="s">
        <v>861</v>
      </c>
      <c r="C9" s="274" t="s">
        <v>23</v>
      </c>
      <c r="D9" s="274" t="s">
        <v>41</v>
      </c>
      <c r="E9" s="275" t="s">
        <v>494</v>
      </c>
      <c r="F9" s="194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218"/>
      <c r="U9" s="47"/>
      <c r="V9" s="48"/>
      <c r="W9" s="48"/>
      <c r="X9" s="48"/>
      <c r="Y9" s="49"/>
      <c r="AB9"/>
      <c r="AC9"/>
      <c r="AD9"/>
      <c r="AE9"/>
    </row>
    <row r="10" spans="1:37" ht="15" customHeight="1" thickBot="1" x14ac:dyDescent="0.75">
      <c r="A10" s="180">
        <v>5</v>
      </c>
      <c r="B10" s="270" t="s">
        <v>862</v>
      </c>
      <c r="C10" s="270" t="s">
        <v>23</v>
      </c>
      <c r="D10" s="270" t="s">
        <v>500</v>
      </c>
      <c r="E10" s="271" t="s">
        <v>501</v>
      </c>
      <c r="F10" s="195"/>
      <c r="G10" s="175"/>
      <c r="H10" s="175"/>
      <c r="I10" s="175"/>
      <c r="J10" s="175"/>
      <c r="K10" s="175"/>
      <c r="L10" s="175"/>
      <c r="M10" s="175"/>
      <c r="N10" s="175"/>
      <c r="O10" s="175"/>
      <c r="P10" s="175"/>
      <c r="Q10" s="175"/>
      <c r="R10" s="175"/>
      <c r="S10" s="175"/>
      <c r="T10" s="219"/>
      <c r="U10" s="50"/>
      <c r="V10" s="51"/>
      <c r="W10" s="51"/>
      <c r="X10" s="51"/>
      <c r="Y10" s="52"/>
      <c r="AB10"/>
      <c r="AC10"/>
      <c r="AD10"/>
      <c r="AE10"/>
    </row>
    <row r="11" spans="1:37" ht="15" customHeight="1" x14ac:dyDescent="0.7">
      <c r="A11" s="178">
        <v>6</v>
      </c>
      <c r="B11" s="272" t="s">
        <v>863</v>
      </c>
      <c r="C11" s="272" t="s">
        <v>23</v>
      </c>
      <c r="D11" s="272" t="s">
        <v>492</v>
      </c>
      <c r="E11" s="273" t="s">
        <v>493</v>
      </c>
      <c r="F11" s="193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217"/>
      <c r="U11" s="65"/>
      <c r="V11" s="53"/>
      <c r="W11" s="53"/>
      <c r="X11" s="53"/>
      <c r="Y11" s="54"/>
      <c r="AB11"/>
      <c r="AC11"/>
      <c r="AD11"/>
      <c r="AE11"/>
    </row>
    <row r="12" spans="1:37" ht="15" customHeight="1" x14ac:dyDescent="0.7">
      <c r="A12" s="179">
        <v>7</v>
      </c>
      <c r="B12" s="274" t="s">
        <v>864</v>
      </c>
      <c r="C12" s="274" t="s">
        <v>23</v>
      </c>
      <c r="D12" s="274" t="s">
        <v>498</v>
      </c>
      <c r="E12" s="275" t="s">
        <v>499</v>
      </c>
      <c r="F12" s="194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218"/>
      <c r="U12" s="65"/>
      <c r="V12" s="53"/>
      <c r="W12" s="53"/>
      <c r="X12" s="53"/>
      <c r="Y12" s="54"/>
      <c r="AB12"/>
      <c r="AC12"/>
      <c r="AD12"/>
      <c r="AE12"/>
    </row>
    <row r="13" spans="1:37" ht="15" customHeight="1" x14ac:dyDescent="0.7">
      <c r="A13" s="179">
        <v>8</v>
      </c>
      <c r="B13" s="274" t="s">
        <v>865</v>
      </c>
      <c r="C13" s="274" t="s">
        <v>23</v>
      </c>
      <c r="D13" s="274" t="s">
        <v>508</v>
      </c>
      <c r="E13" s="275" t="s">
        <v>509</v>
      </c>
      <c r="F13" s="194"/>
      <c r="G13" s="75"/>
      <c r="H13" s="75"/>
      <c r="I13" s="75"/>
      <c r="J13" s="75"/>
      <c r="K13" s="75"/>
      <c r="L13" s="222"/>
      <c r="M13" s="75"/>
      <c r="N13" s="75"/>
      <c r="O13" s="75"/>
      <c r="P13" s="75"/>
      <c r="Q13" s="75"/>
      <c r="R13" s="75"/>
      <c r="S13" s="75"/>
      <c r="T13" s="218"/>
      <c r="U13" s="47"/>
      <c r="V13" s="48"/>
      <c r="W13" s="48"/>
      <c r="X13" s="48"/>
      <c r="Y13" s="49"/>
      <c r="AB13"/>
      <c r="AC13"/>
      <c r="AD13"/>
      <c r="AE13"/>
    </row>
    <row r="14" spans="1:37" ht="15" customHeight="1" x14ac:dyDescent="0.7">
      <c r="A14" s="179">
        <v>9</v>
      </c>
      <c r="B14" s="274" t="s">
        <v>866</v>
      </c>
      <c r="C14" s="274" t="s">
        <v>23</v>
      </c>
      <c r="D14" s="274" t="s">
        <v>502</v>
      </c>
      <c r="E14" s="275" t="s">
        <v>503</v>
      </c>
      <c r="F14" s="194"/>
      <c r="G14" s="75"/>
      <c r="H14" s="75"/>
      <c r="I14" s="75"/>
      <c r="J14" s="75"/>
      <c r="K14" s="221"/>
      <c r="L14" s="75"/>
      <c r="M14" s="185"/>
      <c r="N14" s="75"/>
      <c r="O14" s="75"/>
      <c r="P14" s="75"/>
      <c r="Q14" s="75"/>
      <c r="R14" s="75"/>
      <c r="S14" s="75"/>
      <c r="T14" s="218"/>
      <c r="U14" s="47"/>
      <c r="V14" s="48"/>
      <c r="W14" s="48"/>
      <c r="X14" s="48"/>
      <c r="Y14" s="49"/>
      <c r="AB14"/>
      <c r="AC14"/>
      <c r="AD14"/>
      <c r="AE14"/>
    </row>
    <row r="15" spans="1:37" ht="15" customHeight="1" thickBot="1" x14ac:dyDescent="0.75">
      <c r="A15" s="180">
        <v>10</v>
      </c>
      <c r="B15" s="270" t="s">
        <v>867</v>
      </c>
      <c r="C15" s="270" t="s">
        <v>23</v>
      </c>
      <c r="D15" s="270" t="s">
        <v>868</v>
      </c>
      <c r="E15" s="271" t="s">
        <v>495</v>
      </c>
      <c r="F15" s="195"/>
      <c r="G15" s="175"/>
      <c r="H15" s="175"/>
      <c r="I15" s="175"/>
      <c r="J15" s="175"/>
      <c r="K15" s="175"/>
      <c r="L15" s="223"/>
      <c r="M15" s="175"/>
      <c r="N15" s="175"/>
      <c r="O15" s="175"/>
      <c r="P15" s="175"/>
      <c r="Q15" s="177"/>
      <c r="R15" s="175"/>
      <c r="S15" s="175"/>
      <c r="T15" s="219"/>
      <c r="U15" s="47"/>
      <c r="V15" s="48"/>
      <c r="W15" s="48"/>
      <c r="X15" s="48"/>
      <c r="Y15" s="49"/>
      <c r="AB15"/>
      <c r="AC15"/>
      <c r="AD15"/>
      <c r="AE15"/>
    </row>
    <row r="16" spans="1:37" ht="15" customHeight="1" x14ac:dyDescent="0.7">
      <c r="A16" s="178">
        <v>11</v>
      </c>
      <c r="B16" s="272" t="s">
        <v>869</v>
      </c>
      <c r="C16" s="272" t="s">
        <v>23</v>
      </c>
      <c r="D16" s="272" t="s">
        <v>496</v>
      </c>
      <c r="E16" s="273" t="s">
        <v>497</v>
      </c>
      <c r="F16" s="193"/>
      <c r="G16" s="172"/>
      <c r="H16" s="172"/>
      <c r="I16" s="172"/>
      <c r="J16" s="172"/>
      <c r="K16" s="172"/>
      <c r="L16" s="172"/>
      <c r="M16" s="172"/>
      <c r="N16" s="172"/>
      <c r="O16" s="172"/>
      <c r="P16" s="172"/>
      <c r="Q16" s="172"/>
      <c r="R16" s="172"/>
      <c r="S16" s="172"/>
      <c r="T16" s="217"/>
      <c r="U16" s="47"/>
      <c r="V16" s="48"/>
      <c r="W16" s="48"/>
      <c r="X16" s="48"/>
      <c r="Y16" s="49"/>
      <c r="AB16"/>
      <c r="AC16"/>
      <c r="AD16"/>
      <c r="AE16"/>
    </row>
    <row r="17" spans="1:31" ht="15" customHeight="1" thickBot="1" x14ac:dyDescent="0.75">
      <c r="A17" s="179">
        <v>12</v>
      </c>
      <c r="B17" s="274" t="s">
        <v>870</v>
      </c>
      <c r="C17" s="274" t="s">
        <v>23</v>
      </c>
      <c r="D17" s="274" t="s">
        <v>871</v>
      </c>
      <c r="E17" s="275" t="s">
        <v>517</v>
      </c>
      <c r="F17" s="194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218"/>
      <c r="U17" s="50"/>
      <c r="V17" s="51"/>
      <c r="W17" s="51"/>
      <c r="X17" s="51"/>
      <c r="Y17" s="52"/>
      <c r="AB17"/>
      <c r="AC17"/>
      <c r="AD17"/>
      <c r="AE17"/>
    </row>
    <row r="18" spans="1:31" ht="15" customHeight="1" x14ac:dyDescent="0.7">
      <c r="A18" s="179">
        <v>13</v>
      </c>
      <c r="B18" s="274" t="s">
        <v>872</v>
      </c>
      <c r="C18" s="274" t="s">
        <v>23</v>
      </c>
      <c r="D18" s="274" t="s">
        <v>526</v>
      </c>
      <c r="E18" s="275" t="s">
        <v>527</v>
      </c>
      <c r="F18" s="194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218"/>
      <c r="U18" s="65"/>
      <c r="V18" s="53"/>
      <c r="W18" s="53"/>
      <c r="X18" s="53"/>
      <c r="Y18" s="54"/>
      <c r="AB18"/>
      <c r="AC18"/>
      <c r="AD18"/>
      <c r="AE18"/>
    </row>
    <row r="19" spans="1:31" ht="15" customHeight="1" x14ac:dyDescent="0.7">
      <c r="A19" s="179">
        <v>14</v>
      </c>
      <c r="B19" s="274" t="s">
        <v>873</v>
      </c>
      <c r="C19" s="274" t="s">
        <v>23</v>
      </c>
      <c r="D19" s="274" t="s">
        <v>515</v>
      </c>
      <c r="E19" s="275" t="s">
        <v>516</v>
      </c>
      <c r="F19" s="194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218"/>
      <c r="U19" s="47"/>
      <c r="V19" s="48"/>
      <c r="W19" s="48"/>
      <c r="X19" s="48"/>
      <c r="Y19" s="49"/>
      <c r="AB19"/>
      <c r="AC19"/>
      <c r="AD19"/>
      <c r="AE19"/>
    </row>
    <row r="20" spans="1:31" ht="15" customHeight="1" thickBot="1" x14ac:dyDescent="0.75">
      <c r="A20" s="180">
        <v>15</v>
      </c>
      <c r="B20" s="270" t="s">
        <v>874</v>
      </c>
      <c r="C20" s="270" t="s">
        <v>23</v>
      </c>
      <c r="D20" s="270" t="s">
        <v>510</v>
      </c>
      <c r="E20" s="271" t="s">
        <v>511</v>
      </c>
      <c r="F20" s="195"/>
      <c r="G20" s="175"/>
      <c r="H20" s="175"/>
      <c r="I20" s="175"/>
      <c r="J20" s="175"/>
      <c r="K20" s="175"/>
      <c r="L20" s="175"/>
      <c r="M20" s="175"/>
      <c r="N20" s="175"/>
      <c r="O20" s="175"/>
      <c r="P20" s="175"/>
      <c r="Q20" s="175"/>
      <c r="R20" s="175"/>
      <c r="S20" s="175"/>
      <c r="T20" s="219"/>
      <c r="U20" s="47"/>
      <c r="V20" s="48"/>
      <c r="W20" s="48"/>
      <c r="X20" s="48"/>
      <c r="Y20" s="49"/>
      <c r="AB20"/>
      <c r="AC20"/>
      <c r="AD20"/>
      <c r="AE20"/>
    </row>
    <row r="21" spans="1:31" ht="15" customHeight="1" x14ac:dyDescent="0.7">
      <c r="A21" s="178">
        <v>16</v>
      </c>
      <c r="B21" s="272" t="s">
        <v>875</v>
      </c>
      <c r="C21" s="272" t="s">
        <v>23</v>
      </c>
      <c r="D21" s="272" t="s">
        <v>525</v>
      </c>
      <c r="E21" s="273" t="s">
        <v>57</v>
      </c>
      <c r="F21" s="193"/>
      <c r="G21" s="172"/>
      <c r="H21" s="172"/>
      <c r="I21" s="172"/>
      <c r="J21" s="172"/>
      <c r="K21" s="172"/>
      <c r="L21" s="172"/>
      <c r="M21" s="172"/>
      <c r="N21" s="172"/>
      <c r="O21" s="172"/>
      <c r="P21" s="172"/>
      <c r="Q21" s="172"/>
      <c r="R21" s="172"/>
      <c r="S21" s="172"/>
      <c r="T21" s="217"/>
      <c r="U21" s="47"/>
      <c r="V21" s="48"/>
      <c r="W21" s="48"/>
      <c r="X21" s="48"/>
      <c r="Y21" s="49"/>
      <c r="AB21"/>
      <c r="AC21"/>
      <c r="AD21"/>
      <c r="AE21"/>
    </row>
    <row r="22" spans="1:31" ht="15" customHeight="1" x14ac:dyDescent="0.7">
      <c r="A22" s="179">
        <v>17</v>
      </c>
      <c r="B22" s="274" t="s">
        <v>876</v>
      </c>
      <c r="C22" s="274" t="s">
        <v>23</v>
      </c>
      <c r="D22" s="274" t="s">
        <v>512</v>
      </c>
      <c r="E22" s="275" t="s">
        <v>428</v>
      </c>
      <c r="F22" s="194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218"/>
      <c r="U22" s="47"/>
      <c r="V22" s="48"/>
      <c r="W22" s="48"/>
      <c r="X22" s="48"/>
      <c r="Y22" s="49"/>
      <c r="AB22"/>
      <c r="AC22"/>
      <c r="AD22"/>
      <c r="AE22"/>
    </row>
    <row r="23" spans="1:31" ht="15" customHeight="1" x14ac:dyDescent="0.7">
      <c r="A23" s="179">
        <v>18</v>
      </c>
      <c r="B23" s="274" t="s">
        <v>877</v>
      </c>
      <c r="C23" s="274" t="s">
        <v>23</v>
      </c>
      <c r="D23" s="274" t="s">
        <v>25</v>
      </c>
      <c r="E23" s="275" t="s">
        <v>528</v>
      </c>
      <c r="F23" s="194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218"/>
      <c r="U23" s="47"/>
      <c r="V23" s="48"/>
      <c r="W23" s="48"/>
      <c r="X23" s="48"/>
      <c r="Y23" s="49"/>
      <c r="AB23"/>
      <c r="AC23"/>
      <c r="AD23"/>
      <c r="AE23"/>
    </row>
    <row r="24" spans="1:31" ht="15" customHeight="1" x14ac:dyDescent="0.7">
      <c r="A24" s="179">
        <v>19</v>
      </c>
      <c r="B24" s="274" t="s">
        <v>878</v>
      </c>
      <c r="C24" s="274" t="s">
        <v>23</v>
      </c>
      <c r="D24" s="274" t="s">
        <v>513</v>
      </c>
      <c r="E24" s="275" t="s">
        <v>514</v>
      </c>
      <c r="F24" s="194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218"/>
      <c r="U24" s="47"/>
      <c r="V24" s="48"/>
      <c r="W24" s="48"/>
      <c r="X24" s="48"/>
      <c r="Y24" s="49"/>
      <c r="AB24"/>
      <c r="AC24"/>
      <c r="AD24"/>
      <c r="AE24"/>
    </row>
    <row r="25" spans="1:31" ht="15" customHeight="1" thickBot="1" x14ac:dyDescent="0.75">
      <c r="A25" s="180">
        <v>20</v>
      </c>
      <c r="B25" s="270" t="s">
        <v>879</v>
      </c>
      <c r="C25" s="270" t="s">
        <v>23</v>
      </c>
      <c r="D25" s="270" t="s">
        <v>519</v>
      </c>
      <c r="E25" s="271" t="s">
        <v>520</v>
      </c>
      <c r="F25" s="195"/>
      <c r="G25" s="175"/>
      <c r="H25" s="175"/>
      <c r="I25" s="175"/>
      <c r="J25" s="175"/>
      <c r="K25" s="175"/>
      <c r="L25" s="175"/>
      <c r="M25" s="175"/>
      <c r="N25" s="175"/>
      <c r="O25" s="175"/>
      <c r="P25" s="175"/>
      <c r="Q25" s="175"/>
      <c r="R25" s="175"/>
      <c r="S25" s="175"/>
      <c r="T25" s="219"/>
      <c r="U25" s="47"/>
      <c r="V25" s="48"/>
      <c r="W25" s="48"/>
      <c r="X25" s="48"/>
      <c r="Y25" s="49"/>
      <c r="AB25"/>
      <c r="AC25"/>
      <c r="AD25"/>
      <c r="AE25"/>
    </row>
    <row r="26" spans="1:31" ht="15" customHeight="1" x14ac:dyDescent="0.7">
      <c r="A26" s="178">
        <v>21</v>
      </c>
      <c r="B26" s="272" t="s">
        <v>880</v>
      </c>
      <c r="C26" s="272" t="s">
        <v>23</v>
      </c>
      <c r="D26" s="272" t="s">
        <v>529</v>
      </c>
      <c r="E26" s="273" t="s">
        <v>530</v>
      </c>
      <c r="F26" s="193"/>
      <c r="G26" s="172"/>
      <c r="H26" s="172"/>
      <c r="I26" s="172"/>
      <c r="J26" s="172"/>
      <c r="K26" s="172"/>
      <c r="L26" s="172"/>
      <c r="M26" s="172"/>
      <c r="N26" s="172"/>
      <c r="O26" s="172"/>
      <c r="P26" s="172"/>
      <c r="Q26" s="172"/>
      <c r="R26" s="172"/>
      <c r="S26" s="172"/>
      <c r="T26" s="217"/>
      <c r="U26" s="47"/>
      <c r="V26" s="48"/>
      <c r="W26" s="48"/>
      <c r="X26" s="48"/>
      <c r="Y26" s="49"/>
    </row>
    <row r="27" spans="1:31" ht="15" customHeight="1" x14ac:dyDescent="0.7">
      <c r="A27" s="179">
        <v>22</v>
      </c>
      <c r="B27" s="274" t="s">
        <v>881</v>
      </c>
      <c r="C27" s="274" t="s">
        <v>23</v>
      </c>
      <c r="D27" s="274" t="s">
        <v>523</v>
      </c>
      <c r="E27" s="275" t="s">
        <v>524</v>
      </c>
      <c r="F27" s="194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218"/>
      <c r="U27" s="47"/>
      <c r="V27" s="48"/>
      <c r="W27" s="48"/>
      <c r="X27" s="48"/>
      <c r="Y27" s="49"/>
    </row>
    <row r="28" spans="1:31" ht="15" customHeight="1" x14ac:dyDescent="0.7">
      <c r="A28" s="179">
        <v>23</v>
      </c>
      <c r="B28" s="274" t="s">
        <v>882</v>
      </c>
      <c r="C28" s="274" t="s">
        <v>23</v>
      </c>
      <c r="D28" s="274" t="s">
        <v>883</v>
      </c>
      <c r="E28" s="275" t="s">
        <v>518</v>
      </c>
      <c r="F28" s="194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218"/>
      <c r="U28" s="47"/>
      <c r="V28" s="48"/>
      <c r="W28" s="48"/>
      <c r="X28" s="48"/>
      <c r="Y28" s="49"/>
    </row>
    <row r="29" spans="1:31" ht="15" customHeight="1" x14ac:dyDescent="0.7">
      <c r="A29" s="179">
        <v>24</v>
      </c>
      <c r="B29" s="274" t="s">
        <v>884</v>
      </c>
      <c r="C29" s="274" t="s">
        <v>23</v>
      </c>
      <c r="D29" s="274" t="s">
        <v>521</v>
      </c>
      <c r="E29" s="275" t="s">
        <v>522</v>
      </c>
      <c r="F29" s="194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218"/>
      <c r="U29" s="47"/>
      <c r="V29" s="48"/>
      <c r="W29" s="48"/>
      <c r="X29" s="48"/>
      <c r="Y29" s="49"/>
    </row>
    <row r="30" spans="1:31" ht="15" customHeight="1" thickBot="1" x14ac:dyDescent="0.75">
      <c r="A30" s="180">
        <v>25</v>
      </c>
      <c r="B30" s="270" t="s">
        <v>976</v>
      </c>
      <c r="C30" s="270" t="s">
        <v>23</v>
      </c>
      <c r="D30" s="270" t="s">
        <v>977</v>
      </c>
      <c r="E30" s="271" t="s">
        <v>978</v>
      </c>
      <c r="F30" s="186"/>
      <c r="G30" s="175"/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175"/>
      <c r="T30" s="219"/>
      <c r="U30" s="47"/>
      <c r="V30" s="48"/>
      <c r="W30" s="48"/>
      <c r="X30" s="48"/>
      <c r="Y30" s="49"/>
      <c r="AB30"/>
      <c r="AC30"/>
      <c r="AD30"/>
      <c r="AE30"/>
    </row>
    <row r="31" spans="1:31" ht="15" customHeight="1" thickBot="1" x14ac:dyDescent="0.75">
      <c r="A31" s="178">
        <v>26</v>
      </c>
      <c r="B31" s="272" t="s">
        <v>885</v>
      </c>
      <c r="C31" s="272" t="s">
        <v>24</v>
      </c>
      <c r="D31" s="272" t="s">
        <v>533</v>
      </c>
      <c r="E31" s="273" t="s">
        <v>534</v>
      </c>
      <c r="F31" s="184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2"/>
      <c r="S31" s="172"/>
      <c r="T31" s="217"/>
      <c r="U31" s="50"/>
      <c r="V31" s="51"/>
      <c r="W31" s="51"/>
      <c r="X31" s="51"/>
      <c r="Y31" s="52"/>
      <c r="AB31"/>
      <c r="AC31"/>
      <c r="AD31"/>
      <c r="AE31"/>
    </row>
    <row r="32" spans="1:31" ht="15" customHeight="1" x14ac:dyDescent="0.7">
      <c r="A32" s="179">
        <v>27</v>
      </c>
      <c r="B32" s="274" t="s">
        <v>886</v>
      </c>
      <c r="C32" s="274" t="s">
        <v>24</v>
      </c>
      <c r="D32" s="274" t="s">
        <v>538</v>
      </c>
      <c r="E32" s="275" t="s">
        <v>539</v>
      </c>
      <c r="F32" s="18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218"/>
      <c r="U32" s="44"/>
      <c r="V32" s="45"/>
      <c r="W32" s="45"/>
      <c r="X32" s="45"/>
      <c r="Y32" s="46"/>
      <c r="AB32"/>
      <c r="AC32"/>
      <c r="AD32"/>
      <c r="AE32"/>
    </row>
    <row r="33" spans="1:31" ht="15" customHeight="1" x14ac:dyDescent="0.7">
      <c r="A33" s="179">
        <v>28</v>
      </c>
      <c r="B33" s="274" t="s">
        <v>888</v>
      </c>
      <c r="C33" s="274" t="s">
        <v>24</v>
      </c>
      <c r="D33" s="274" t="s">
        <v>531</v>
      </c>
      <c r="E33" s="275" t="s">
        <v>532</v>
      </c>
      <c r="F33" s="18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218"/>
      <c r="U33" s="47"/>
      <c r="V33" s="48"/>
      <c r="W33" s="48"/>
      <c r="X33" s="48"/>
      <c r="Y33" s="49"/>
      <c r="AB33"/>
      <c r="AC33"/>
      <c r="AD33"/>
      <c r="AE33"/>
    </row>
    <row r="34" spans="1:31" ht="15" customHeight="1" x14ac:dyDescent="0.7">
      <c r="A34" s="179">
        <v>29</v>
      </c>
      <c r="B34" s="274" t="s">
        <v>889</v>
      </c>
      <c r="C34" s="274" t="s">
        <v>24</v>
      </c>
      <c r="D34" s="274" t="s">
        <v>13</v>
      </c>
      <c r="E34" s="275" t="s">
        <v>537</v>
      </c>
      <c r="F34" s="18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218"/>
      <c r="U34" s="47"/>
      <c r="V34" s="48"/>
      <c r="W34" s="48"/>
      <c r="X34" s="48"/>
      <c r="Y34" s="49"/>
      <c r="AB34"/>
      <c r="AC34"/>
      <c r="AD34"/>
      <c r="AE34"/>
    </row>
    <row r="35" spans="1:31" ht="15" customHeight="1" thickBot="1" x14ac:dyDescent="0.75">
      <c r="A35" s="180">
        <v>30</v>
      </c>
      <c r="B35" s="270" t="s">
        <v>890</v>
      </c>
      <c r="C35" s="270" t="s">
        <v>24</v>
      </c>
      <c r="D35" s="270" t="s">
        <v>891</v>
      </c>
      <c r="E35" s="271" t="s">
        <v>540</v>
      </c>
      <c r="F35" s="186"/>
      <c r="G35" s="175"/>
      <c r="H35" s="175"/>
      <c r="I35" s="175"/>
      <c r="J35" s="175"/>
      <c r="K35" s="175"/>
      <c r="L35" s="175"/>
      <c r="M35" s="175"/>
      <c r="N35" s="175"/>
      <c r="O35" s="175"/>
      <c r="P35" s="175"/>
      <c r="Q35" s="175"/>
      <c r="R35" s="175"/>
      <c r="S35" s="175"/>
      <c r="T35" s="219"/>
      <c r="U35" s="47"/>
      <c r="V35" s="48"/>
      <c r="W35" s="48"/>
      <c r="X35" s="48"/>
      <c r="Y35" s="49"/>
      <c r="AB35"/>
      <c r="AC35"/>
      <c r="AD35"/>
      <c r="AE35"/>
    </row>
    <row r="36" spans="1:31" ht="15" customHeight="1" x14ac:dyDescent="0.7">
      <c r="A36" s="178">
        <v>31</v>
      </c>
      <c r="B36" s="272" t="s">
        <v>892</v>
      </c>
      <c r="C36" s="272" t="s">
        <v>24</v>
      </c>
      <c r="D36" s="272" t="s">
        <v>541</v>
      </c>
      <c r="E36" s="273" t="s">
        <v>542</v>
      </c>
      <c r="F36" s="192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220"/>
      <c r="U36" s="56"/>
      <c r="V36" s="57"/>
      <c r="W36" s="57"/>
      <c r="X36" s="57"/>
      <c r="Y36" s="58"/>
      <c r="AB36"/>
      <c r="AC36"/>
      <c r="AD36"/>
      <c r="AE36"/>
    </row>
    <row r="37" spans="1:31" ht="15" customHeight="1" x14ac:dyDescent="0.7">
      <c r="A37" s="179"/>
      <c r="B37" s="71"/>
      <c r="C37" s="194"/>
      <c r="D37" s="71"/>
      <c r="E37" s="189"/>
      <c r="F37" s="18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218"/>
      <c r="U37" s="56"/>
      <c r="V37" s="57"/>
      <c r="W37" s="57"/>
      <c r="X37" s="57"/>
      <c r="Y37" s="58"/>
      <c r="AB37"/>
      <c r="AC37"/>
      <c r="AD37"/>
      <c r="AE37"/>
    </row>
    <row r="38" spans="1:31" ht="15" customHeight="1" x14ac:dyDescent="0.7">
      <c r="A38" s="179"/>
      <c r="B38" s="71"/>
      <c r="C38" s="194"/>
      <c r="D38" s="71"/>
      <c r="E38" s="189"/>
      <c r="F38" s="18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218"/>
      <c r="U38" s="56"/>
      <c r="V38" s="57"/>
      <c r="W38" s="57"/>
      <c r="X38" s="57"/>
      <c r="Y38" s="58"/>
      <c r="AB38"/>
      <c r="AC38"/>
      <c r="AD38"/>
      <c r="AE38"/>
    </row>
    <row r="39" spans="1:31" ht="15" customHeight="1" x14ac:dyDescent="0.7">
      <c r="A39" s="179"/>
      <c r="B39" s="71"/>
      <c r="C39" s="194"/>
      <c r="D39" s="71"/>
      <c r="E39" s="189"/>
      <c r="F39" s="18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218"/>
      <c r="U39" s="56"/>
      <c r="V39" s="57"/>
      <c r="W39" s="57"/>
      <c r="X39" s="57"/>
      <c r="Y39" s="58"/>
      <c r="AB39"/>
      <c r="AC39"/>
      <c r="AD39"/>
      <c r="AE39"/>
    </row>
    <row r="40" spans="1:31" ht="15" customHeight="1" thickBot="1" x14ac:dyDescent="0.75">
      <c r="A40" s="180"/>
      <c r="B40" s="177"/>
      <c r="C40" s="195"/>
      <c r="D40" s="177"/>
      <c r="E40" s="190"/>
      <c r="F40" s="186"/>
      <c r="G40" s="175"/>
      <c r="H40" s="175"/>
      <c r="I40" s="175"/>
      <c r="J40" s="175"/>
      <c r="K40" s="175"/>
      <c r="L40" s="175"/>
      <c r="M40" s="175"/>
      <c r="N40" s="175"/>
      <c r="O40" s="175"/>
      <c r="P40" s="175"/>
      <c r="Q40" s="175"/>
      <c r="R40" s="175"/>
      <c r="S40" s="175"/>
      <c r="T40" s="219"/>
      <c r="U40" s="56"/>
      <c r="V40" s="57"/>
      <c r="W40" s="57"/>
      <c r="X40" s="57"/>
      <c r="Y40" s="58"/>
      <c r="AB40"/>
      <c r="AC40"/>
      <c r="AD40"/>
      <c r="AE40"/>
    </row>
    <row r="41" spans="1:31" ht="16.5" customHeight="1" x14ac:dyDescent="0.7">
      <c r="A41" s="78"/>
      <c r="B41" s="77" t="s">
        <v>20</v>
      </c>
      <c r="C41" s="78">
        <f>SUM(COUNTIF(C6:C40,{"นาย","เด็กชาย"}))</f>
        <v>25</v>
      </c>
      <c r="D41" s="79" t="s">
        <v>21</v>
      </c>
      <c r="E41" s="78">
        <f>COUNTIF(C6:C40,{"นางสาว","เด็กหญิง"})</f>
        <v>6</v>
      </c>
      <c r="F41" s="80" t="s">
        <v>22</v>
      </c>
      <c r="G41" s="78">
        <f>C41+E41</f>
        <v>31</v>
      </c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2"/>
      <c r="U41" s="55"/>
      <c r="V41" s="55"/>
      <c r="W41" s="55"/>
      <c r="X41" s="55"/>
      <c r="Y41" s="55"/>
      <c r="AB41"/>
      <c r="AC41"/>
      <c r="AD41"/>
      <c r="AE41"/>
    </row>
  </sheetData>
  <sortState xmlns:xlrd2="http://schemas.microsoft.com/office/spreadsheetml/2017/richdata2" ref="C17:E30">
    <sortCondition ref="C17:C30"/>
    <sortCondition ref="D17:D30"/>
    <sortCondition ref="E17:E30"/>
  </sortState>
  <mergeCells count="26">
    <mergeCell ref="A1:Y1"/>
    <mergeCell ref="A2:C2"/>
    <mergeCell ref="F3:O3"/>
    <mergeCell ref="C4:E5"/>
    <mergeCell ref="F4:F5"/>
    <mergeCell ref="G4:G5"/>
    <mergeCell ref="H4:H5"/>
    <mergeCell ref="I4:I5"/>
    <mergeCell ref="J4:J5"/>
    <mergeCell ref="B3:D3"/>
    <mergeCell ref="K4:K5"/>
    <mergeCell ref="L4:L5"/>
    <mergeCell ref="M4:M5"/>
    <mergeCell ref="N4:N5"/>
    <mergeCell ref="O4:O5"/>
    <mergeCell ref="AB2:AK2"/>
    <mergeCell ref="P4:P5"/>
    <mergeCell ref="W4:W5"/>
    <mergeCell ref="X4:X5"/>
    <mergeCell ref="Y4:Y5"/>
    <mergeCell ref="Q4:Q5"/>
    <mergeCell ref="R4:R5"/>
    <mergeCell ref="S4:S5"/>
    <mergeCell ref="T4:T5"/>
    <mergeCell ref="U4:U5"/>
    <mergeCell ref="V4:V5"/>
  </mergeCells>
  <printOptions horizontalCentered="1"/>
  <pageMargins left="0.59055118110236227" right="0" top="0.39370078740157483" bottom="0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Y41"/>
  <sheetViews>
    <sheetView workbookViewId="0">
      <selection activeCell="AC14" sqref="AC14"/>
    </sheetView>
  </sheetViews>
  <sheetFormatPr defaultRowHeight="15.9" customHeight="1" x14ac:dyDescent="0.25"/>
  <cols>
    <col min="1" max="1" width="4.3984375" style="76" customWidth="1"/>
    <col min="2" max="2" width="7" style="76" customWidth="1"/>
    <col min="3" max="3" width="8" style="76" customWidth="1"/>
    <col min="4" max="4" width="12.19921875" style="76" customWidth="1"/>
    <col min="5" max="5" width="12.69921875" style="76" customWidth="1"/>
    <col min="6" max="6" width="3.8984375" style="76" customWidth="1"/>
    <col min="7" max="20" width="2.69921875" style="76" customWidth="1"/>
    <col min="21" max="25" width="2.69921875" hidden="1" customWidth="1"/>
    <col min="26" max="26" width="0" hidden="1" customWidth="1"/>
  </cols>
  <sheetData>
    <row r="1" spans="1:25" s="73" customFormat="1" ht="15.9" customHeight="1" x14ac:dyDescent="0.25">
      <c r="A1" s="318" t="s">
        <v>1001</v>
      </c>
      <c r="B1" s="318"/>
      <c r="C1" s="318"/>
      <c r="D1" s="318"/>
      <c r="E1" s="318"/>
      <c r="F1" s="318"/>
      <c r="G1" s="318"/>
      <c r="H1" s="318"/>
      <c r="I1" s="318"/>
      <c r="J1" s="318"/>
      <c r="K1" s="318"/>
      <c r="L1" s="318"/>
      <c r="M1" s="318"/>
      <c r="N1" s="318"/>
      <c r="O1" s="318"/>
      <c r="P1" s="318"/>
      <c r="Q1" s="318"/>
      <c r="R1" s="318"/>
      <c r="S1" s="318"/>
      <c r="T1" s="318"/>
      <c r="U1" s="318"/>
      <c r="V1" s="318"/>
      <c r="W1" s="318"/>
      <c r="X1" s="318"/>
      <c r="Y1" s="318"/>
    </row>
    <row r="2" spans="1:25" s="73" customFormat="1" ht="15.9" customHeight="1" x14ac:dyDescent="0.25">
      <c r="A2" s="298" t="s">
        <v>5</v>
      </c>
      <c r="B2" s="298"/>
      <c r="C2" s="298"/>
      <c r="D2" s="164">
        <v>611</v>
      </c>
      <c r="E2" s="82" t="s">
        <v>6</v>
      </c>
      <c r="F2" s="304" t="s">
        <v>939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304"/>
      <c r="U2" s="69"/>
      <c r="V2" s="69"/>
      <c r="W2" s="69"/>
      <c r="X2" s="69"/>
      <c r="Y2" s="69"/>
    </row>
    <row r="3" spans="1:25" s="73" customFormat="1" ht="15.9" customHeight="1" thickBot="1" x14ac:dyDescent="0.3">
      <c r="A3" s="82"/>
      <c r="B3" s="304" t="s">
        <v>923</v>
      </c>
      <c r="C3" s="304"/>
      <c r="D3" s="304"/>
      <c r="E3" s="83">
        <v>611</v>
      </c>
      <c r="F3" s="298"/>
      <c r="G3" s="298"/>
      <c r="H3" s="298"/>
      <c r="I3" s="298"/>
      <c r="J3" s="298"/>
      <c r="K3" s="298"/>
      <c r="L3" s="298"/>
      <c r="M3" s="298"/>
      <c r="N3" s="298"/>
      <c r="O3" s="298"/>
      <c r="P3" s="298"/>
      <c r="Q3" s="298"/>
      <c r="R3" s="298"/>
      <c r="S3" s="298"/>
      <c r="T3" s="298"/>
      <c r="U3" s="156"/>
      <c r="V3" s="156"/>
      <c r="W3" s="156"/>
      <c r="X3" s="156"/>
      <c r="Y3" s="156"/>
    </row>
    <row r="4" spans="1:25" ht="15.9" customHeight="1" x14ac:dyDescent="0.25">
      <c r="A4" s="293" t="s">
        <v>1</v>
      </c>
      <c r="B4" s="294" t="s">
        <v>2</v>
      </c>
      <c r="C4" s="330" t="s">
        <v>3</v>
      </c>
      <c r="D4" s="330"/>
      <c r="E4" s="331"/>
      <c r="F4" s="334"/>
      <c r="G4" s="330"/>
      <c r="H4" s="330"/>
      <c r="I4" s="330"/>
      <c r="J4" s="330"/>
      <c r="K4" s="330"/>
      <c r="L4" s="330"/>
      <c r="M4" s="330"/>
      <c r="N4" s="330"/>
      <c r="O4" s="330"/>
      <c r="P4" s="330"/>
      <c r="Q4" s="330"/>
      <c r="R4" s="330"/>
      <c r="S4" s="330"/>
      <c r="T4" s="331"/>
      <c r="U4" s="325"/>
      <c r="V4" s="323"/>
      <c r="W4" s="323"/>
      <c r="X4" s="323"/>
      <c r="Y4" s="321"/>
    </row>
    <row r="5" spans="1:25" ht="15.9" customHeight="1" thickBot="1" x14ac:dyDescent="0.3">
      <c r="A5" s="295" t="s">
        <v>0</v>
      </c>
      <c r="B5" s="296" t="s">
        <v>4</v>
      </c>
      <c r="C5" s="332"/>
      <c r="D5" s="332"/>
      <c r="E5" s="333"/>
      <c r="F5" s="335"/>
      <c r="G5" s="332"/>
      <c r="H5" s="332"/>
      <c r="I5" s="332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3"/>
      <c r="U5" s="329"/>
      <c r="V5" s="328"/>
      <c r="W5" s="328"/>
      <c r="X5" s="328"/>
      <c r="Y5" s="327"/>
    </row>
    <row r="6" spans="1:25" ht="15.9" customHeight="1" thickBot="1" x14ac:dyDescent="0.3">
      <c r="A6" s="258">
        <v>1</v>
      </c>
      <c r="B6" s="29" t="s">
        <v>893</v>
      </c>
      <c r="C6" s="29" t="s">
        <v>23</v>
      </c>
      <c r="D6" s="29" t="s">
        <v>459</v>
      </c>
      <c r="E6" s="30" t="s">
        <v>460</v>
      </c>
      <c r="F6" s="230"/>
      <c r="G6" s="224"/>
      <c r="H6" s="224"/>
      <c r="I6" s="224"/>
      <c r="J6" s="224"/>
      <c r="K6" s="224"/>
      <c r="L6" s="224"/>
      <c r="M6" s="224"/>
      <c r="N6" s="224"/>
      <c r="O6" s="224"/>
      <c r="P6" s="224"/>
      <c r="Q6" s="224"/>
      <c r="R6" s="224"/>
      <c r="S6" s="224"/>
      <c r="T6" s="225"/>
      <c r="U6" s="64"/>
      <c r="V6" s="59"/>
      <c r="W6" s="59"/>
      <c r="X6" s="59"/>
      <c r="Y6" s="60"/>
    </row>
    <row r="7" spans="1:25" ht="15.9" customHeight="1" x14ac:dyDescent="0.6">
      <c r="A7" s="259">
        <v>2</v>
      </c>
      <c r="B7" s="28" t="s">
        <v>894</v>
      </c>
      <c r="C7" s="28" t="s">
        <v>23</v>
      </c>
      <c r="D7" s="28" t="s">
        <v>453</v>
      </c>
      <c r="E7" s="31" t="s">
        <v>454</v>
      </c>
      <c r="F7" s="185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174"/>
      <c r="U7" s="24"/>
      <c r="V7" s="12"/>
      <c r="W7" s="12"/>
      <c r="X7" s="12"/>
      <c r="Y7" s="13"/>
    </row>
    <row r="8" spans="1:25" ht="15.9" customHeight="1" x14ac:dyDescent="0.6">
      <c r="A8" s="259">
        <v>3</v>
      </c>
      <c r="B8" s="28" t="s">
        <v>895</v>
      </c>
      <c r="C8" s="28" t="s">
        <v>23</v>
      </c>
      <c r="D8" s="28" t="s">
        <v>457</v>
      </c>
      <c r="E8" s="31" t="s">
        <v>458</v>
      </c>
      <c r="F8" s="18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174"/>
      <c r="U8" s="9"/>
      <c r="V8" s="10"/>
      <c r="W8" s="10"/>
      <c r="X8" s="10"/>
      <c r="Y8" s="14"/>
    </row>
    <row r="9" spans="1:25" ht="15.9" customHeight="1" x14ac:dyDescent="0.6">
      <c r="A9" s="259">
        <v>4</v>
      </c>
      <c r="B9" s="28" t="s">
        <v>896</v>
      </c>
      <c r="C9" s="28" t="s">
        <v>23</v>
      </c>
      <c r="D9" s="28" t="s">
        <v>455</v>
      </c>
      <c r="E9" s="31" t="s">
        <v>456</v>
      </c>
      <c r="F9" s="185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174"/>
      <c r="U9" s="1"/>
      <c r="V9" s="2"/>
      <c r="W9" s="2"/>
      <c r="X9" s="2"/>
      <c r="Y9" s="6"/>
    </row>
    <row r="10" spans="1:25" ht="15.9" customHeight="1" thickBot="1" x14ac:dyDescent="0.65">
      <c r="A10" s="260">
        <v>5</v>
      </c>
      <c r="B10" s="20" t="s">
        <v>897</v>
      </c>
      <c r="C10" s="20" t="s">
        <v>23</v>
      </c>
      <c r="D10" s="20" t="s">
        <v>451</v>
      </c>
      <c r="E10" s="21" t="s">
        <v>452</v>
      </c>
      <c r="F10" s="186"/>
      <c r="G10" s="175"/>
      <c r="H10" s="175"/>
      <c r="I10" s="175"/>
      <c r="J10" s="175"/>
      <c r="K10" s="175"/>
      <c r="L10" s="175"/>
      <c r="M10" s="175"/>
      <c r="N10" s="175"/>
      <c r="O10" s="175"/>
      <c r="P10" s="175"/>
      <c r="Q10" s="175"/>
      <c r="R10" s="175"/>
      <c r="S10" s="175"/>
      <c r="T10" s="176"/>
      <c r="U10" s="1"/>
      <c r="V10" s="2"/>
      <c r="W10" s="2"/>
      <c r="X10" s="2"/>
      <c r="Y10" s="6"/>
    </row>
    <row r="11" spans="1:25" ht="15.9" customHeight="1" x14ac:dyDescent="0.6">
      <c r="A11" s="258">
        <v>6</v>
      </c>
      <c r="B11" s="29" t="s">
        <v>898</v>
      </c>
      <c r="C11" s="29" t="s">
        <v>23</v>
      </c>
      <c r="D11" s="29" t="s">
        <v>463</v>
      </c>
      <c r="E11" s="30" t="s">
        <v>464</v>
      </c>
      <c r="F11" s="184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3"/>
      <c r="U11" s="1"/>
      <c r="V11" s="2"/>
      <c r="W11" s="2"/>
      <c r="X11" s="2"/>
      <c r="Y11" s="6"/>
    </row>
    <row r="12" spans="1:25" ht="15.9" customHeight="1" x14ac:dyDescent="0.6">
      <c r="A12" s="259">
        <v>7</v>
      </c>
      <c r="B12" s="28" t="s">
        <v>899</v>
      </c>
      <c r="C12" s="28" t="s">
        <v>23</v>
      </c>
      <c r="D12" s="28" t="s">
        <v>461</v>
      </c>
      <c r="E12" s="31" t="s">
        <v>462</v>
      </c>
      <c r="F12" s="185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174"/>
      <c r="U12" s="1"/>
      <c r="V12" s="2"/>
      <c r="W12" s="2"/>
      <c r="X12" s="2"/>
      <c r="Y12" s="6"/>
    </row>
    <row r="13" spans="1:25" ht="15.9" customHeight="1" thickBot="1" x14ac:dyDescent="0.65">
      <c r="A13" s="259">
        <v>8</v>
      </c>
      <c r="B13" s="28" t="s">
        <v>900</v>
      </c>
      <c r="C13" s="28" t="s">
        <v>24</v>
      </c>
      <c r="D13" s="28" t="s">
        <v>465</v>
      </c>
      <c r="E13" s="31" t="s">
        <v>466</v>
      </c>
      <c r="F13" s="18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174"/>
      <c r="U13" s="4"/>
      <c r="V13" s="3"/>
      <c r="W13" s="3"/>
      <c r="X13" s="3"/>
      <c r="Y13" s="8"/>
    </row>
    <row r="14" spans="1:25" ht="15.9" customHeight="1" x14ac:dyDescent="0.6">
      <c r="A14" s="259">
        <v>9</v>
      </c>
      <c r="B14" s="28" t="s">
        <v>962</v>
      </c>
      <c r="C14" s="28" t="s">
        <v>24</v>
      </c>
      <c r="D14" s="28" t="s">
        <v>963</v>
      </c>
      <c r="E14" s="31" t="s">
        <v>964</v>
      </c>
      <c r="F14" s="18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174"/>
      <c r="U14" s="9"/>
      <c r="V14" s="10"/>
      <c r="W14" s="10"/>
      <c r="X14" s="10"/>
      <c r="Y14" s="14"/>
    </row>
    <row r="15" spans="1:25" ht="15.9" customHeight="1" thickBot="1" x14ac:dyDescent="0.65">
      <c r="A15" s="260">
        <v>10</v>
      </c>
      <c r="B15" s="20" t="s">
        <v>901</v>
      </c>
      <c r="C15" s="20" t="s">
        <v>24</v>
      </c>
      <c r="D15" s="20" t="s">
        <v>260</v>
      </c>
      <c r="E15" s="21" t="s">
        <v>467</v>
      </c>
      <c r="F15" s="186"/>
      <c r="G15" s="175"/>
      <c r="H15" s="175"/>
      <c r="I15" s="175"/>
      <c r="J15" s="175"/>
      <c r="K15" s="175"/>
      <c r="L15" s="175"/>
      <c r="M15" s="175"/>
      <c r="N15" s="175"/>
      <c r="O15" s="175"/>
      <c r="P15" s="175"/>
      <c r="Q15" s="175"/>
      <c r="R15" s="175"/>
      <c r="S15" s="175"/>
      <c r="T15" s="176"/>
      <c r="U15" s="1"/>
      <c r="V15" s="2"/>
      <c r="W15" s="2"/>
      <c r="X15" s="2"/>
      <c r="Y15" s="6"/>
    </row>
    <row r="16" spans="1:25" ht="15.9" customHeight="1" x14ac:dyDescent="0.6">
      <c r="A16" s="258">
        <v>11</v>
      </c>
      <c r="B16" s="29" t="s">
        <v>902</v>
      </c>
      <c r="C16" s="29" t="s">
        <v>24</v>
      </c>
      <c r="D16" s="29" t="s">
        <v>468</v>
      </c>
      <c r="E16" s="30" t="s">
        <v>469</v>
      </c>
      <c r="F16" s="184"/>
      <c r="G16" s="172"/>
      <c r="H16" s="172"/>
      <c r="I16" s="172"/>
      <c r="J16" s="172"/>
      <c r="K16" s="172"/>
      <c r="L16" s="172"/>
      <c r="M16" s="172"/>
      <c r="N16" s="172"/>
      <c r="O16" s="172"/>
      <c r="P16" s="172"/>
      <c r="Q16" s="188"/>
      <c r="R16" s="172"/>
      <c r="S16" s="172"/>
      <c r="T16" s="173"/>
      <c r="U16" s="1"/>
      <c r="V16" s="2"/>
      <c r="W16" s="2"/>
      <c r="X16" s="2"/>
      <c r="Y16" s="6"/>
    </row>
    <row r="17" spans="1:25" ht="15.9" customHeight="1" x14ac:dyDescent="0.6">
      <c r="A17" s="259">
        <v>12</v>
      </c>
      <c r="B17" s="28" t="s">
        <v>903</v>
      </c>
      <c r="C17" s="28" t="s">
        <v>24</v>
      </c>
      <c r="D17" s="28" t="s">
        <v>470</v>
      </c>
      <c r="E17" s="31" t="s">
        <v>471</v>
      </c>
      <c r="F17" s="18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1"/>
      <c r="R17" s="75"/>
      <c r="S17" s="75"/>
      <c r="T17" s="174"/>
      <c r="U17" s="1"/>
      <c r="V17" s="2"/>
      <c r="W17" s="2"/>
      <c r="X17" s="2"/>
      <c r="Y17" s="6"/>
    </row>
    <row r="18" spans="1:25" ht="15.9" customHeight="1" x14ac:dyDescent="0.6">
      <c r="A18" s="259">
        <v>13</v>
      </c>
      <c r="B18" s="28" t="s">
        <v>904</v>
      </c>
      <c r="C18" s="28" t="s">
        <v>24</v>
      </c>
      <c r="D18" s="28" t="s">
        <v>905</v>
      </c>
      <c r="E18" s="31" t="s">
        <v>57</v>
      </c>
      <c r="F18" s="18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174"/>
      <c r="U18" s="1"/>
      <c r="V18" s="2"/>
      <c r="W18" s="2"/>
      <c r="X18" s="2"/>
      <c r="Y18" s="6"/>
    </row>
    <row r="19" spans="1:25" ht="15.9" customHeight="1" thickBot="1" x14ac:dyDescent="0.65">
      <c r="A19" s="259">
        <v>14</v>
      </c>
      <c r="B19" s="28" t="s">
        <v>906</v>
      </c>
      <c r="C19" s="28" t="s">
        <v>24</v>
      </c>
      <c r="D19" s="28" t="s">
        <v>315</v>
      </c>
      <c r="E19" s="31" t="s">
        <v>311</v>
      </c>
      <c r="F19" s="18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174"/>
      <c r="U19" s="4"/>
      <c r="V19" s="3"/>
      <c r="W19" s="3"/>
      <c r="X19" s="3"/>
      <c r="Y19" s="8"/>
    </row>
    <row r="20" spans="1:25" ht="15.9" customHeight="1" thickBot="1" x14ac:dyDescent="0.65">
      <c r="A20" s="260"/>
      <c r="B20" s="177"/>
      <c r="C20" s="177"/>
      <c r="D20" s="177"/>
      <c r="E20" s="190"/>
      <c r="F20" s="186"/>
      <c r="G20" s="175"/>
      <c r="H20" s="175"/>
      <c r="I20" s="175"/>
      <c r="J20" s="175"/>
      <c r="K20" s="175"/>
      <c r="L20" s="175"/>
      <c r="M20" s="175"/>
      <c r="N20" s="175"/>
      <c r="O20" s="175"/>
      <c r="P20" s="175"/>
      <c r="Q20" s="175"/>
      <c r="R20" s="175"/>
      <c r="S20" s="175"/>
      <c r="T20" s="176"/>
      <c r="U20" s="61"/>
      <c r="V20" s="62"/>
      <c r="W20" s="62"/>
      <c r="X20" s="62"/>
      <c r="Y20" s="63"/>
    </row>
    <row r="21" spans="1:25" s="84" customFormat="1" ht="15.9" customHeight="1" thickBot="1" x14ac:dyDescent="0.65">
      <c r="A21" s="226"/>
      <c r="B21" s="227" t="s">
        <v>924</v>
      </c>
      <c r="C21" s="228"/>
      <c r="E21" s="229">
        <v>612</v>
      </c>
      <c r="F21" s="231"/>
      <c r="G21" s="231"/>
      <c r="H21" s="231"/>
      <c r="I21" s="231"/>
      <c r="J21" s="231"/>
      <c r="K21" s="231"/>
      <c r="L21" s="231"/>
      <c r="M21" s="231"/>
      <c r="N21" s="231"/>
      <c r="O21" s="231"/>
      <c r="P21" s="231"/>
      <c r="Q21" s="231"/>
      <c r="R21" s="231"/>
      <c r="S21" s="231"/>
      <c r="T21" s="232"/>
      <c r="U21" s="165"/>
      <c r="V21" s="166"/>
      <c r="W21" s="166"/>
      <c r="X21" s="166"/>
      <c r="Y21" s="167"/>
    </row>
    <row r="22" spans="1:25" ht="15.9" customHeight="1" x14ac:dyDescent="0.6">
      <c r="A22" s="178">
        <v>1</v>
      </c>
      <c r="B22" s="33" t="s">
        <v>907</v>
      </c>
      <c r="C22" s="29" t="s">
        <v>23</v>
      </c>
      <c r="D22" s="29" t="s">
        <v>472</v>
      </c>
      <c r="E22" s="30" t="s">
        <v>473</v>
      </c>
      <c r="F22" s="184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3"/>
      <c r="U22" s="1"/>
      <c r="V22" s="2"/>
      <c r="W22" s="2"/>
      <c r="X22" s="2"/>
      <c r="Y22" s="6"/>
    </row>
    <row r="23" spans="1:25" ht="15.9" customHeight="1" x14ac:dyDescent="0.6">
      <c r="A23" s="179">
        <v>2</v>
      </c>
      <c r="B23" s="187" t="s">
        <v>908</v>
      </c>
      <c r="C23" s="28" t="s">
        <v>24</v>
      </c>
      <c r="D23" s="28" t="s">
        <v>475</v>
      </c>
      <c r="E23" s="31" t="s">
        <v>476</v>
      </c>
      <c r="F23" s="18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174"/>
      <c r="U23" s="1"/>
      <c r="V23" s="2"/>
      <c r="W23" s="2"/>
      <c r="X23" s="2"/>
      <c r="Y23" s="6"/>
    </row>
    <row r="24" spans="1:25" ht="15.9" customHeight="1" x14ac:dyDescent="0.6">
      <c r="A24" s="179">
        <v>3</v>
      </c>
      <c r="B24" s="187" t="s">
        <v>941</v>
      </c>
      <c r="C24" s="28" t="s">
        <v>24</v>
      </c>
      <c r="D24" s="28" t="s">
        <v>942</v>
      </c>
      <c r="E24" s="31" t="s">
        <v>943</v>
      </c>
      <c r="F24" s="18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174"/>
      <c r="U24" s="1"/>
      <c r="V24" s="2"/>
      <c r="W24" s="2"/>
      <c r="X24" s="2"/>
      <c r="Y24" s="6"/>
    </row>
    <row r="25" spans="1:25" ht="15.9" customHeight="1" thickBot="1" x14ac:dyDescent="0.65">
      <c r="A25" s="179">
        <v>4</v>
      </c>
      <c r="B25" s="187" t="s">
        <v>909</v>
      </c>
      <c r="C25" s="28" t="s">
        <v>24</v>
      </c>
      <c r="D25" s="28" t="s">
        <v>477</v>
      </c>
      <c r="E25" s="31" t="s">
        <v>478</v>
      </c>
      <c r="F25" s="18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174"/>
      <c r="U25" s="4"/>
      <c r="V25" s="3"/>
      <c r="W25" s="3"/>
      <c r="X25" s="3"/>
      <c r="Y25" s="8"/>
    </row>
    <row r="26" spans="1:25" ht="15.9" customHeight="1" thickBot="1" x14ac:dyDescent="0.65">
      <c r="A26" s="180">
        <v>5</v>
      </c>
      <c r="B26" s="22" t="s">
        <v>910</v>
      </c>
      <c r="C26" s="20" t="s">
        <v>24</v>
      </c>
      <c r="D26" s="20" t="s">
        <v>482</v>
      </c>
      <c r="E26" s="21" t="s">
        <v>483</v>
      </c>
      <c r="F26" s="186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6"/>
      <c r="U26" s="61"/>
      <c r="V26" s="62"/>
      <c r="W26" s="62"/>
      <c r="X26" s="62"/>
      <c r="Y26" s="63"/>
    </row>
    <row r="27" spans="1:25" ht="15.9" customHeight="1" x14ac:dyDescent="0.6">
      <c r="A27" s="215">
        <v>6</v>
      </c>
      <c r="B27" s="246" t="s">
        <v>911</v>
      </c>
      <c r="C27" s="168" t="s">
        <v>24</v>
      </c>
      <c r="D27" s="168" t="s">
        <v>27</v>
      </c>
      <c r="E27" s="247" t="s">
        <v>481</v>
      </c>
      <c r="F27" s="184"/>
      <c r="G27" s="172"/>
      <c r="H27" s="172"/>
      <c r="I27" s="172"/>
      <c r="J27" s="172"/>
      <c r="K27" s="172"/>
      <c r="L27" s="172"/>
      <c r="M27" s="172"/>
      <c r="N27" s="172"/>
      <c r="O27" s="172"/>
      <c r="P27" s="172"/>
      <c r="Q27" s="172"/>
      <c r="R27" s="172"/>
      <c r="S27" s="172"/>
      <c r="T27" s="173"/>
      <c r="U27" s="24"/>
      <c r="V27" s="12"/>
      <c r="W27" s="12"/>
      <c r="X27" s="12"/>
      <c r="Y27" s="13"/>
    </row>
    <row r="28" spans="1:25" ht="15.9" customHeight="1" x14ac:dyDescent="0.6">
      <c r="A28" s="179">
        <v>7</v>
      </c>
      <c r="B28" s="187" t="s">
        <v>912</v>
      </c>
      <c r="C28" s="28" t="s">
        <v>24</v>
      </c>
      <c r="D28" s="28" t="s">
        <v>913</v>
      </c>
      <c r="E28" s="31" t="s">
        <v>474</v>
      </c>
      <c r="F28" s="18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174"/>
      <c r="U28" s="9"/>
      <c r="V28" s="10"/>
      <c r="W28" s="10"/>
      <c r="X28" s="10"/>
      <c r="Y28" s="14"/>
    </row>
    <row r="29" spans="1:25" ht="15.9" customHeight="1" x14ac:dyDescent="0.6">
      <c r="A29" s="179">
        <v>8</v>
      </c>
      <c r="B29" s="187" t="s">
        <v>914</v>
      </c>
      <c r="C29" s="28" t="s">
        <v>24</v>
      </c>
      <c r="D29" s="28" t="s">
        <v>479</v>
      </c>
      <c r="E29" s="31" t="s">
        <v>480</v>
      </c>
      <c r="F29" s="18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174"/>
      <c r="U29" s="1"/>
      <c r="V29" s="2"/>
      <c r="W29" s="2"/>
      <c r="X29" s="2"/>
      <c r="Y29" s="6"/>
    </row>
    <row r="30" spans="1:25" ht="15.9" customHeight="1" x14ac:dyDescent="0.6">
      <c r="A30" s="179">
        <v>9</v>
      </c>
      <c r="B30" s="187" t="s">
        <v>915</v>
      </c>
      <c r="C30" s="28" t="s">
        <v>24</v>
      </c>
      <c r="D30" s="28" t="s">
        <v>485</v>
      </c>
      <c r="E30" s="31" t="s">
        <v>486</v>
      </c>
      <c r="F30" s="18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174"/>
      <c r="U30" s="1"/>
      <c r="V30" s="2"/>
      <c r="W30" s="2"/>
      <c r="X30" s="2"/>
      <c r="Y30" s="6"/>
    </row>
    <row r="31" spans="1:25" ht="15.9" customHeight="1" thickBot="1" x14ac:dyDescent="0.65">
      <c r="A31" s="180">
        <v>10</v>
      </c>
      <c r="B31" s="22" t="s">
        <v>916</v>
      </c>
      <c r="C31" s="20" t="s">
        <v>24</v>
      </c>
      <c r="D31" s="20" t="s">
        <v>484</v>
      </c>
      <c r="E31" s="21" t="s">
        <v>390</v>
      </c>
      <c r="F31" s="186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6"/>
      <c r="U31" s="1"/>
      <c r="V31" s="2"/>
      <c r="W31" s="2"/>
      <c r="X31" s="2"/>
      <c r="Y31" s="6"/>
    </row>
    <row r="32" spans="1:25" ht="15.9" customHeight="1" thickBot="1" x14ac:dyDescent="0.65">
      <c r="A32" s="215"/>
      <c r="B32" s="246"/>
      <c r="C32" s="168"/>
      <c r="D32" s="168"/>
      <c r="E32" s="247"/>
      <c r="F32" s="192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213"/>
      <c r="U32" s="4"/>
      <c r="V32" s="3"/>
      <c r="W32" s="3"/>
      <c r="X32" s="3"/>
      <c r="Y32" s="8"/>
    </row>
    <row r="33" spans="1:25" ht="15.9" customHeight="1" x14ac:dyDescent="0.6">
      <c r="A33" s="179"/>
      <c r="B33" s="187"/>
      <c r="C33" s="28"/>
      <c r="D33" s="28"/>
      <c r="E33" s="31"/>
      <c r="F33" s="18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174"/>
      <c r="U33" s="24"/>
      <c r="V33" s="12"/>
      <c r="W33" s="12"/>
      <c r="X33" s="12"/>
      <c r="Y33" s="13"/>
    </row>
    <row r="34" spans="1:25" ht="15.9" customHeight="1" thickBot="1" x14ac:dyDescent="0.65">
      <c r="A34" s="180"/>
      <c r="B34" s="183"/>
      <c r="C34" s="22"/>
      <c r="D34" s="20"/>
      <c r="E34" s="21"/>
      <c r="F34" s="186"/>
      <c r="G34" s="175"/>
      <c r="H34" s="175"/>
      <c r="I34" s="175"/>
      <c r="J34" s="175"/>
      <c r="K34" s="175"/>
      <c r="L34" s="175"/>
      <c r="M34" s="175"/>
      <c r="N34" s="175"/>
      <c r="O34" s="175"/>
      <c r="P34" s="175"/>
      <c r="Q34" s="175"/>
      <c r="R34" s="175"/>
      <c r="S34" s="175"/>
      <c r="T34" s="176"/>
      <c r="U34" s="9"/>
      <c r="V34" s="10"/>
      <c r="W34" s="10"/>
      <c r="X34" s="10"/>
      <c r="Y34" s="14"/>
    </row>
    <row r="35" spans="1:25" ht="15.9" customHeight="1" thickBot="1" x14ac:dyDescent="0.65">
      <c r="A35" s="240"/>
      <c r="B35" s="242" t="s">
        <v>925</v>
      </c>
      <c r="C35" s="243"/>
      <c r="D35" s="244"/>
      <c r="E35" s="245">
        <v>613</v>
      </c>
      <c r="F35" s="241"/>
      <c r="G35" s="233"/>
      <c r="H35" s="233"/>
      <c r="I35" s="233"/>
      <c r="J35" s="233"/>
      <c r="K35" s="233"/>
      <c r="L35" s="233"/>
      <c r="M35" s="233"/>
      <c r="N35" s="233"/>
      <c r="O35" s="233"/>
      <c r="P35" s="233"/>
      <c r="Q35" s="233"/>
      <c r="R35" s="233"/>
      <c r="S35" s="233"/>
      <c r="T35" s="234"/>
      <c r="U35" s="1"/>
      <c r="V35" s="2"/>
      <c r="W35" s="2"/>
      <c r="X35" s="2"/>
      <c r="Y35" s="6"/>
    </row>
    <row r="36" spans="1:25" ht="15.9" customHeight="1" x14ac:dyDescent="0.6">
      <c r="A36" s="178">
        <v>1</v>
      </c>
      <c r="B36" s="33" t="s">
        <v>959</v>
      </c>
      <c r="C36" s="29" t="s">
        <v>23</v>
      </c>
      <c r="D36" s="29" t="s">
        <v>960</v>
      </c>
      <c r="E36" s="30" t="s">
        <v>487</v>
      </c>
      <c r="F36" s="184"/>
      <c r="G36" s="172"/>
      <c r="H36" s="172"/>
      <c r="I36" s="172"/>
      <c r="J36" s="172"/>
      <c r="K36" s="172"/>
      <c r="L36" s="172"/>
      <c r="M36" s="172"/>
      <c r="N36" s="172"/>
      <c r="O36" s="172"/>
      <c r="P36" s="172"/>
      <c r="Q36" s="172"/>
      <c r="R36" s="172"/>
      <c r="S36" s="172"/>
      <c r="T36" s="173"/>
      <c r="U36" s="38"/>
      <c r="V36" s="38"/>
      <c r="W36" s="38"/>
      <c r="X36" s="38"/>
      <c r="Y36" s="38"/>
    </row>
    <row r="37" spans="1:25" ht="15.9" customHeight="1" x14ac:dyDescent="0.6">
      <c r="A37" s="179">
        <v>2</v>
      </c>
      <c r="B37" s="187" t="s">
        <v>961</v>
      </c>
      <c r="C37" s="28" t="s">
        <v>24</v>
      </c>
      <c r="D37" s="28" t="s">
        <v>488</v>
      </c>
      <c r="E37" s="31" t="s">
        <v>53</v>
      </c>
      <c r="F37" s="18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174"/>
      <c r="U37" s="38"/>
      <c r="V37" s="38"/>
      <c r="W37" s="38"/>
      <c r="X37" s="38"/>
      <c r="Y37" s="38"/>
    </row>
    <row r="38" spans="1:25" ht="15.9" customHeight="1" x14ac:dyDescent="0.6">
      <c r="A38" s="179"/>
      <c r="B38" s="187"/>
      <c r="C38" s="28"/>
      <c r="D38" s="28"/>
      <c r="E38" s="31"/>
      <c r="F38" s="18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174"/>
      <c r="U38" s="38"/>
      <c r="V38" s="38"/>
      <c r="W38" s="38"/>
      <c r="X38" s="38"/>
      <c r="Y38" s="38"/>
    </row>
    <row r="39" spans="1:25" ht="15.9" customHeight="1" x14ac:dyDescent="0.6">
      <c r="A39" s="235"/>
      <c r="B39" s="249"/>
      <c r="C39" s="36"/>
      <c r="D39" s="36"/>
      <c r="E39" s="37"/>
      <c r="F39" s="236"/>
      <c r="G39" s="222"/>
      <c r="H39" s="222"/>
      <c r="I39" s="222"/>
      <c r="J39" s="222"/>
      <c r="K39" s="222"/>
      <c r="L39" s="222"/>
      <c r="M39" s="222"/>
      <c r="N39" s="222"/>
      <c r="O39" s="222"/>
      <c r="P39" s="222"/>
      <c r="Q39" s="222"/>
      <c r="R39" s="222"/>
      <c r="S39" s="222"/>
      <c r="T39" s="237"/>
      <c r="U39" s="38"/>
      <c r="V39" s="38"/>
      <c r="W39" s="38"/>
      <c r="X39" s="38"/>
      <c r="Y39" s="38"/>
    </row>
    <row r="40" spans="1:25" ht="15.9" customHeight="1" thickBot="1" x14ac:dyDescent="0.65">
      <c r="A40" s="248"/>
      <c r="B40" s="214"/>
      <c r="C40" s="177"/>
      <c r="D40" s="177"/>
      <c r="E40" s="190"/>
      <c r="F40" s="18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38"/>
      <c r="V40" s="38"/>
      <c r="W40" s="38"/>
      <c r="X40" s="38"/>
      <c r="Y40" s="38"/>
    </row>
    <row r="41" spans="1:25" ht="15.9" customHeight="1" x14ac:dyDescent="0.6">
      <c r="A41" s="77" t="s">
        <v>20</v>
      </c>
      <c r="B41" s="78">
        <f>SUM(COUNTIF(C6:C39,{"นาย","เด็กชาย"}))</f>
        <v>9</v>
      </c>
      <c r="C41" s="79" t="s">
        <v>21</v>
      </c>
      <c r="D41" s="78">
        <f>SUM(COUNTIF(C6:C39,{"นางสาว","เด็กหญิง"}))</f>
        <v>17</v>
      </c>
      <c r="E41" s="80" t="s">
        <v>22</v>
      </c>
      <c r="F41" s="76">
        <f>B41+D41</f>
        <v>26</v>
      </c>
      <c r="U41" s="15"/>
      <c r="V41" s="15"/>
      <c r="W41" s="15"/>
      <c r="X41" s="15"/>
    </row>
  </sheetData>
  <sortState xmlns:xlrd2="http://schemas.microsoft.com/office/spreadsheetml/2017/richdata2" ref="C30:E33">
    <sortCondition ref="D30:D33"/>
    <sortCondition ref="E30:E33"/>
  </sortState>
  <mergeCells count="26">
    <mergeCell ref="A2:C2"/>
    <mergeCell ref="X4:X5"/>
    <mergeCell ref="S4:S5"/>
    <mergeCell ref="T4:T5"/>
    <mergeCell ref="U4:U5"/>
    <mergeCell ref="V4:V5"/>
    <mergeCell ref="W4:W5"/>
    <mergeCell ref="B3:D3"/>
    <mergeCell ref="F2:T2"/>
    <mergeCell ref="F3:T3"/>
    <mergeCell ref="A1:Y1"/>
    <mergeCell ref="C4:E5"/>
    <mergeCell ref="F4:F5"/>
    <mergeCell ref="G4:G5"/>
    <mergeCell ref="H4:H5"/>
    <mergeCell ref="I4:I5"/>
    <mergeCell ref="J4:J5"/>
    <mergeCell ref="K4:K5"/>
    <mergeCell ref="L4:L5"/>
    <mergeCell ref="M4:M5"/>
    <mergeCell ref="Y4:Y5"/>
    <mergeCell ref="N4:N5"/>
    <mergeCell ref="O4:O5"/>
    <mergeCell ref="P4:P5"/>
    <mergeCell ref="Q4:Q5"/>
    <mergeCell ref="R4:R5"/>
  </mergeCells>
  <printOptions horizontalCentered="1"/>
  <pageMargins left="0.59055118110236227" right="0" top="0.39370078740157483" bottom="0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11</vt:i4>
      </vt:variant>
    </vt:vector>
  </HeadingPairs>
  <TitlesOfParts>
    <vt:vector size="11" baseType="lpstr">
      <vt:lpstr>601</vt:lpstr>
      <vt:lpstr>602</vt:lpstr>
      <vt:lpstr>603</vt:lpstr>
      <vt:lpstr>604</vt:lpstr>
      <vt:lpstr>605</vt:lpstr>
      <vt:lpstr>606</vt:lpstr>
      <vt:lpstr>607</vt:lpstr>
      <vt:lpstr>608</vt:lpstr>
      <vt:lpstr>609</vt:lpstr>
      <vt:lpstr>610</vt:lpstr>
      <vt:lpstr>611-612-613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SWK</dc:creator>
  <cp:lastModifiedBy>PoReT AttemptS</cp:lastModifiedBy>
  <cp:lastPrinted>2026-06-04T08:46:43Z</cp:lastPrinted>
  <dcterms:created xsi:type="dcterms:W3CDTF">2015-04-03T02:39:57Z</dcterms:created>
  <dcterms:modified xsi:type="dcterms:W3CDTF">2026-08-12T09:32:24Z</dcterms:modified>
</cp:coreProperties>
</file>